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 Me" sheetId="2" state="visible" r:id="rId4"/>
    <sheet name="Transactions" sheetId="3" state="visible" r:id="rId5"/>
    <sheet name="Budget vs Actual" sheetId="4" state="visible" r:id="rId6"/>
    <sheet name="Net Worth Tracker" sheetId="5" state="visible" r:id="rId7"/>
    <sheet name="Monthly 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<sst xmlns="http://schemas.openxmlformats.org/spreadsheetml/2006/main" count="426" uniqueCount="104">
  <si>
    <t xml:space="preserve">Personal Financial Dashboard</t>
  </si>
  <si>
    <t xml:space="preserve">6-month client financial review, February to July 2026 (sample data)</t>
  </si>
  <si>
    <t xml:space="preserve">Total Income (6mo)</t>
  </si>
  <si>
    <t xml:space="preserve">Total Expenses (6mo)</t>
  </si>
  <si>
    <t xml:space="preserve">Net Savings (6mo)</t>
  </si>
  <si>
    <t xml:space="preserve">Avg Savings Rate</t>
  </si>
  <si>
    <t xml:space="preserve">Current Net Worth</t>
  </si>
  <si>
    <t xml:space="preserve">How this workbook works, read this first</t>
  </si>
  <si>
    <t xml:space="preserve">Purpose</t>
  </si>
  <si>
    <t xml:space="preserve">Tracks income, expenses, budget performance, savings, and net worth over a 6-month period, and rolls it into one dashboard.</t>
  </si>
  <si>
    <t xml:space="preserve">Why it matters for advisory work</t>
  </si>
  <si>
    <t xml:space="preserve">This is the exact review a banking advisor walks a client through before recommending anything: what is coming in, what is going out, how much budget discipline the client has, and how their net worth is trending. Before an advisor can recommend a TFSA contribution, a debt paydown plan, or a GIC, they need this picture. This workbook is that picture, built as a tool rather than a one-off spreadsheet.</t>
  </si>
  <si>
    <t xml:space="preserve">Tabs</t>
  </si>
  <si>
    <t xml:space="preserve">1. Transactions</t>
  </si>
  <si>
    <t xml:space="preserve">Every income and expense entry. This is the only sheet you add new rows to.</t>
  </si>
  <si>
    <t xml:space="preserve">2. Budget vs Actual</t>
  </si>
  <si>
    <t xml:space="preserve">Monthly budget per category compared to what was actually spent (pulled automatically from Transactions).</t>
  </si>
  <si>
    <t xml:space="preserve">3. Net Worth Tracker</t>
  </si>
  <si>
    <t xml:space="preserve">Assets and liabilities by month, and the net worth trend.</t>
  </si>
  <si>
    <t xml:space="preserve">4. Monthly Summary</t>
  </si>
  <si>
    <t xml:space="preserve">Income, expenses, savings rate and net worth rolled up by month. Feeds the Dashboard.</t>
  </si>
  <si>
    <t xml:space="preserve">5. Dashboard</t>
  </si>
  <si>
    <t xml:space="preserve">One-page view: KPIs, trend charts, expense mix, budget variance.</t>
  </si>
  <si>
    <t xml:space="preserve">Colour key</t>
  </si>
  <si>
    <t xml:space="preserve">Blue text / yellow fill</t>
  </si>
  <si>
    <t xml:space="preserve">Input cells, safe to type over these.</t>
  </si>
  <si>
    <t xml:space="preserve">Black text</t>
  </si>
  <si>
    <t xml:space="preserve">Formulas. Do not overwrite, they recalculate automatically.</t>
  </si>
  <si>
    <t xml:space="preserve">To extend it</t>
  </si>
  <si>
    <t xml:space="preserve">Add new rows at the bottom of Transactions with the same columns. The Budget, Net Worth and Summary tabs use SUMIFS ranges that already cover extra rows, so totals update on their own.</t>
  </si>
  <si>
    <t xml:space="preserve">Notes</t>
  </si>
  <si>
    <t xml:space="preserve">Figures are illustrative (a sample entry-level analyst budget for someone based in Windsor, ON) built to demonstrate structure, formula design and dashboarding. Swap in real numbers and it works the same way.</t>
  </si>
  <si>
    <t xml:space="preserve">Transactions</t>
  </si>
  <si>
    <t xml:space="preserve">Add new entries at the bottom. Every other tab reads from this sheet</t>
  </si>
  <si>
    <t xml:space="preserve">Date</t>
  </si>
  <si>
    <t xml:space="preserve">Month</t>
  </si>
  <si>
    <t xml:space="preserve">Type</t>
  </si>
  <si>
    <t xml:space="preserve">Category</t>
  </si>
  <si>
    <t xml:space="preserve">Description</t>
  </si>
  <si>
    <t xml:space="preserve">Amount</t>
  </si>
  <si>
    <t xml:space="preserve">Feb 2026</t>
  </si>
  <si>
    <t xml:space="preserve">Income</t>
  </si>
  <si>
    <t xml:space="preserve">Salary</t>
  </si>
  <si>
    <t xml:space="preserve">Net pay (biweekly)</t>
  </si>
  <si>
    <t xml:space="preserve">Freelance</t>
  </si>
  <si>
    <t xml:space="preserve">Freelance / tutoring project</t>
  </si>
  <si>
    <t xml:space="preserve">Expense</t>
  </si>
  <si>
    <t xml:space="preserve">Rent</t>
  </si>
  <si>
    <t xml:space="preserve">Monthly apartment rent</t>
  </si>
  <si>
    <t xml:space="preserve">Groceries</t>
  </si>
  <si>
    <t xml:space="preserve">Grocery run</t>
  </si>
  <si>
    <t xml:space="preserve">Transportation</t>
  </si>
  <si>
    <t xml:space="preserve">Transit Windsor monthly pass</t>
  </si>
  <si>
    <t xml:space="preserve">Utilities</t>
  </si>
  <si>
    <t xml:space="preserve">Hydro / internet bill</t>
  </si>
  <si>
    <t xml:space="preserve">Phone &amp; Internet</t>
  </si>
  <si>
    <t xml:space="preserve">Mobile phone plan</t>
  </si>
  <si>
    <t xml:space="preserve">Subscriptions</t>
  </si>
  <si>
    <t xml:space="preserve">Streaming subscriptions</t>
  </si>
  <si>
    <t xml:space="preserve">Dining Out</t>
  </si>
  <si>
    <t xml:space="preserve">Dinner / takeout</t>
  </si>
  <si>
    <t xml:space="preserve">Personal Care</t>
  </si>
  <si>
    <t xml:space="preserve">Haircut / personal care</t>
  </si>
  <si>
    <t xml:space="preserve">Entertainment</t>
  </si>
  <si>
    <t xml:space="preserve">Movies / outings</t>
  </si>
  <si>
    <t xml:space="preserve">TFSA Transfer</t>
  </si>
  <si>
    <t xml:space="preserve">Transfer to TFSA savings</t>
  </si>
  <si>
    <t xml:space="preserve">Miscellaneous</t>
  </si>
  <si>
    <t xml:space="preserve">Miscellaneous purchase</t>
  </si>
  <si>
    <t xml:space="preserve">Mar 2026</t>
  </si>
  <si>
    <t xml:space="preserve">Apr 2026</t>
  </si>
  <si>
    <t xml:space="preserve">May 2026</t>
  </si>
  <si>
    <t xml:space="preserve">Jun 2026</t>
  </si>
  <si>
    <t xml:space="preserve">Jul 2026</t>
  </si>
  <si>
    <t xml:space="preserve">Budget vs Actual</t>
  </si>
  <si>
    <t xml:space="preserve">Monthly Budget is an input (blue). Actuals pull live from Transactions via SUMIFS.</t>
  </si>
  <si>
    <t xml:space="preserve">Monthly Budget</t>
  </si>
  <si>
    <t xml:space="preserve">Feb Actual</t>
  </si>
  <si>
    <t xml:space="preserve">Mar Actual</t>
  </si>
  <si>
    <t xml:space="preserve">Apr Actual</t>
  </si>
  <si>
    <t xml:space="preserve">May Actual</t>
  </si>
  <si>
    <t xml:space="preserve">Jun Actual</t>
  </si>
  <si>
    <t xml:space="preserve">Jul Actual</t>
  </si>
  <si>
    <t xml:space="preserve">Avg Actual</t>
  </si>
  <si>
    <t xml:space="preserve">Variance ($)</t>
  </si>
  <si>
    <t xml:space="preserve">Variance (%)</t>
  </si>
  <si>
    <t xml:space="preserve">Total</t>
  </si>
  <si>
    <t xml:space="preserve">Net Worth Tracker</t>
  </si>
  <si>
    <t xml:space="preserve">Account balances are inputs (blue), reconciled at month-end. Net Worth is calculated.</t>
  </si>
  <si>
    <t xml:space="preserve">Chequing</t>
  </si>
  <si>
    <t xml:space="preserve">Savings</t>
  </si>
  <si>
    <t xml:space="preserve">TFSA</t>
  </si>
  <si>
    <t xml:space="preserve">Credit Card</t>
  </si>
  <si>
    <t xml:space="preserve">Student Loan</t>
  </si>
  <si>
    <t xml:space="preserve">Total Assets</t>
  </si>
  <si>
    <t xml:space="preserve">Total Liabilities</t>
  </si>
  <si>
    <t xml:space="preserve">Net Worth</t>
  </si>
  <si>
    <t xml:space="preserve">Monthly Summary</t>
  </si>
  <si>
    <t xml:space="preserve">Rolls up Transactions and Net Worth Tracker by month. Feeds the Dashboard.</t>
  </si>
  <si>
    <t xml:space="preserve">Total Income</t>
  </si>
  <si>
    <t xml:space="preserve">Total Expenses</t>
  </si>
  <si>
    <t xml:space="preserve">Net Savings</t>
  </si>
  <si>
    <t xml:space="preserve">Savings Rate</t>
  </si>
  <si>
    <t xml:space="preserve">6-Month Total / Avg</t>
  </si>
</sst>
</file>

<file path=xl/styles.xml><?xml version="1.0" encoding="utf-8"?>
<styleSheet xmlns="http://schemas.openxmlformats.org/spreadsheetml/2006/main">
  <numFmts count="5">
    <numFmt numFmtId="164" formatCode="General"/>
    <numFmt numFmtId="165" formatCode="\$#,##0;&quot;($&quot;#,##0\);\-"/>
    <numFmt numFmtId="166" formatCode="0.0%;\(0.0%\);\-"/>
    <numFmt numFmtId="167" formatCode="yyyy\-mm\-dd"/>
    <numFmt numFmtId="168" formatCode="\$#,##0.00;&quot;($&quot;#,##0.0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808080"/>
      <name val="Arial"/>
      <family val="0"/>
      <charset val="1"/>
    </font>
    <font>
      <b val="true"/>
      <sz val="9"/>
      <color rgb="FF595959"/>
      <name val="Arial"/>
      <family val="0"/>
      <charset val="1"/>
    </font>
    <font>
      <b val="true"/>
      <sz val="20"/>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F3864"/>
      <name val="Arial"/>
      <family val="0"/>
      <charset val="1"/>
    </font>
    <font>
      <sz val="10"/>
      <color rgb="FF000000"/>
      <name val="Arial"/>
      <family val="0"/>
      <charset val="1"/>
    </font>
    <font>
      <b val="true"/>
      <sz val="12"/>
      <color rgb="FF1F3864"/>
      <name val="Arial"/>
      <family val="0"/>
      <charset val="1"/>
    </font>
    <font>
      <b val="true"/>
      <sz val="10"/>
      <color rgb="FFFFFFFF"/>
      <name val="Arial"/>
      <family val="0"/>
      <charset val="1"/>
    </font>
    <font>
      <sz val="10"/>
      <color rgb="FF0000FF"/>
      <name val="Arial"/>
      <family val="0"/>
      <charset val="1"/>
    </font>
    <font>
      <b val="true"/>
      <sz val="11"/>
      <color rgb="FF1F3864"/>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D9E2F3"/>
        <bgColor rgb="FFD9D9D9"/>
      </patternFill>
    </fill>
    <fill>
      <patternFill patternType="solid">
        <fgColor rgb="FFF2F2F2"/>
        <bgColor rgb="FFFFFDE7"/>
      </patternFill>
    </fill>
    <fill>
      <patternFill patternType="solid">
        <fgColor rgb="FFFFFDE7"/>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8" fontId="15" fillId="4" borderId="1" xfId="0" applyFont="true" applyBorder="true" applyAlignment="false" applyProtection="false">
      <alignment horizontal="general" vertical="bottom" textRotation="0" wrapText="fals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5" fontId="15" fillId="5"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6" fontId="1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CE4E4"/>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800080"/>
      <rgbColor rgb="FF4F81BD"/>
      <rgbColor rgb="FFBFBFBF"/>
      <rgbColor rgb="FF808080"/>
      <rgbColor rgb="FF93A9CE"/>
      <rgbColor rgb="FFAB4744"/>
      <rgbColor rgb="FFFFFDE7"/>
      <rgbColor rgb="FFF2F2F2"/>
      <rgbColor rgb="FF660066"/>
      <rgbColor rgb="FFDC853E"/>
      <rgbColor rgb="FF4672A8"/>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2C3D5"/>
      <rgbColor rgb="FFD09493"/>
      <rgbColor rgb="FFA99BBD"/>
      <rgbColor rgb="FFFCE4E4"/>
      <rgbColor rgb="FF4A7EBB"/>
      <rgbColor rgb="FF33CCCC"/>
      <rgbColor rgb="FFB8CD97"/>
      <rgbColor rgb="FFFFCC00"/>
      <rgbColor rgb="FFFF9900"/>
      <rgbColor rgb="FFFF6600"/>
      <rgbColor rgb="FF725990"/>
      <rgbColor rgb="FF878787"/>
      <rgbColor rgb="FF1F3864"/>
      <rgbColor rgb="FF4299B0"/>
      <rgbColor rgb="FF003300"/>
      <rgbColor rgb="FF333300"/>
      <rgbColor rgb="FFC0504D"/>
      <rgbColor rgb="FFBE4B48"/>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Income vs Expenses by Month</a:t>
            </a:r>
          </a:p>
        </c:rich>
      </c:tx>
      <c:overlay val="0"/>
      <c:spPr>
        <a:noFill/>
        <a:ln w="0">
          <a:noFill/>
        </a:ln>
      </c:spPr>
    </c:title>
    <c:autoTitleDeleted val="0"/>
    <c:plotArea>
      <c:lineChart>
        <c:grouping val="standard"/>
        <c:varyColors val="0"/>
        <c:ser>
          <c:idx val="0"/>
          <c:order val="0"/>
          <c:tx>
            <c:strRef>
              <c:f>'Monthly Summary'!B5</c:f>
              <c:strCache>
                <c:ptCount val="1"/>
                <c:pt idx="0">
                  <c:v>Total Income</c:v>
                </c:pt>
              </c:strCache>
            </c:strRef>
          </c:tx>
          <c:spPr>
            <a:solidFill>
              <a:srgbClr val="4a7ebb"/>
            </a:solidFill>
            <a:ln w="2196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Summary'!$A$6:$A$11</c:f>
              <c:strCache>
                <c:ptCount val="6"/>
                <c:pt idx="0">
                  <c:v>Feb 2026</c:v>
                </c:pt>
                <c:pt idx="1">
                  <c:v>Mar 2026</c:v>
                </c:pt>
                <c:pt idx="2">
                  <c:v>Apr 2026</c:v>
                </c:pt>
                <c:pt idx="3">
                  <c:v>May 2026</c:v>
                </c:pt>
                <c:pt idx="4">
                  <c:v>Jun 2026</c:v>
                </c:pt>
                <c:pt idx="5">
                  <c:v>Jul 2026</c:v>
                </c:pt>
              </c:strCache>
            </c:strRef>
          </c:cat>
          <c:val>
            <c:numRef>
              <c:f>'Monthly Summary'!$B$6:$B$11</c:f>
              <c:numCache>
                <c:formatCode>\$#,##0;"($"#,##0\);\-</c:formatCode>
                <c:ptCount val="6"/>
                <c:pt idx="0">
                  <c:v>3561.13</c:v>
                </c:pt>
                <c:pt idx="1">
                  <c:v>3404.78</c:v>
                </c:pt>
                <c:pt idx="2">
                  <c:v>3594.49</c:v>
                </c:pt>
                <c:pt idx="3">
                  <c:v>3741.95</c:v>
                </c:pt>
                <c:pt idx="4">
                  <c:v>3729.01</c:v>
                </c:pt>
                <c:pt idx="5">
                  <c:v>3388.07</c:v>
                </c:pt>
              </c:numCache>
            </c:numRef>
          </c:val>
          <c:smooth val="1"/>
        </c:ser>
        <c:ser>
          <c:idx val="1"/>
          <c:order val="1"/>
          <c:tx>
            <c:strRef>
              <c:f>'Monthly Summary'!C5</c:f>
              <c:strCache>
                <c:ptCount val="1"/>
                <c:pt idx="0">
                  <c:v>Total Expenses</c:v>
                </c:pt>
              </c:strCache>
            </c:strRef>
          </c:tx>
          <c:spPr>
            <a:solidFill>
              <a:srgbClr val="be4b48"/>
            </a:solidFill>
            <a:ln w="2196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Summary'!$A$6:$A$11</c:f>
              <c:strCache>
                <c:ptCount val="6"/>
                <c:pt idx="0">
                  <c:v>Feb 2026</c:v>
                </c:pt>
                <c:pt idx="1">
                  <c:v>Mar 2026</c:v>
                </c:pt>
                <c:pt idx="2">
                  <c:v>Apr 2026</c:v>
                </c:pt>
                <c:pt idx="3">
                  <c:v>May 2026</c:v>
                </c:pt>
                <c:pt idx="4">
                  <c:v>Jun 2026</c:v>
                </c:pt>
                <c:pt idx="5">
                  <c:v>Jul 2026</c:v>
                </c:pt>
              </c:strCache>
            </c:strRef>
          </c:cat>
          <c:val>
            <c:numRef>
              <c:f>'Monthly Summary'!$C$6:$C$11</c:f>
              <c:numCache>
                <c:formatCode>\$#,##0;"($"#,##0\);\-</c:formatCode>
                <c:ptCount val="6"/>
                <c:pt idx="0">
                  <c:v>2582.34</c:v>
                </c:pt>
                <c:pt idx="1">
                  <c:v>2536.4</c:v>
                </c:pt>
                <c:pt idx="2">
                  <c:v>2659.05</c:v>
                </c:pt>
                <c:pt idx="3">
                  <c:v>2655.31</c:v>
                </c:pt>
                <c:pt idx="4">
                  <c:v>2641.91</c:v>
                </c:pt>
                <c:pt idx="5">
                  <c:v>2619.3</c:v>
                </c:pt>
              </c:numCache>
            </c:numRef>
          </c:val>
          <c:smooth val="1"/>
        </c:ser>
        <c:hiLowLines>
          <c:spPr>
            <a:ln w="0">
              <a:noFill/>
            </a:ln>
          </c:spPr>
        </c:hiLowLines>
        <c:marker val="0"/>
        <c:axId val="43900672"/>
        <c:axId val="44227751"/>
      </c:lineChart>
      <c:catAx>
        <c:axId val="4390067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227751"/>
        <c:crosses val="autoZero"/>
        <c:auto val="1"/>
        <c:lblAlgn val="ctr"/>
        <c:lblOffset val="100"/>
        <c:noMultiLvlLbl val="0"/>
      </c:catAx>
      <c:valAx>
        <c:axId val="442277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CAD</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9006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Worth Trend</a:t>
            </a:r>
          </a:p>
        </c:rich>
      </c:tx>
      <c:overlay val="0"/>
      <c:spPr>
        <a:noFill/>
        <a:ln w="0">
          <a:noFill/>
        </a:ln>
      </c:spPr>
    </c:title>
    <c:autoTitleDeleted val="0"/>
    <c:plotArea>
      <c:lineChart>
        <c:grouping val="standard"/>
        <c:varyColors val="0"/>
        <c:ser>
          <c:idx val="0"/>
          <c:order val="0"/>
          <c:tx>
            <c:strRef>
              <c:f>'Monthly Summary'!F5</c:f>
              <c:strCache>
                <c:ptCount val="1"/>
                <c:pt idx="0">
                  <c:v>Net Worth</c:v>
                </c:pt>
              </c:strCache>
            </c:strRef>
          </c:tx>
          <c:spPr>
            <a:solidFill>
              <a:srgbClr val="4a7ebb"/>
            </a:solidFill>
            <a:ln w="2196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Summary'!$A$6:$A$11</c:f>
              <c:strCache>
                <c:ptCount val="6"/>
                <c:pt idx="0">
                  <c:v>Feb 2026</c:v>
                </c:pt>
                <c:pt idx="1">
                  <c:v>Mar 2026</c:v>
                </c:pt>
                <c:pt idx="2">
                  <c:v>Apr 2026</c:v>
                </c:pt>
                <c:pt idx="3">
                  <c:v>May 2026</c:v>
                </c:pt>
                <c:pt idx="4">
                  <c:v>Jun 2026</c:v>
                </c:pt>
                <c:pt idx="5">
                  <c:v>Jul 2026</c:v>
                </c:pt>
              </c:strCache>
            </c:strRef>
          </c:cat>
          <c:val>
            <c:numRef>
              <c:f>'Monthly Summary'!$F$6:$F$11</c:f>
              <c:numCache>
                <c:formatCode>\$#,##0;"($"#,##0\);\-</c:formatCode>
                <c:ptCount val="6"/>
                <c:pt idx="0">
                  <c:v>1580</c:v>
                </c:pt>
                <c:pt idx="1">
                  <c:v>2720</c:v>
                </c:pt>
                <c:pt idx="2">
                  <c:v>3520</c:v>
                </c:pt>
                <c:pt idx="3">
                  <c:v>4850</c:v>
                </c:pt>
                <c:pt idx="4">
                  <c:v>5700</c:v>
                </c:pt>
                <c:pt idx="5">
                  <c:v>7020</c:v>
                </c:pt>
              </c:numCache>
            </c:numRef>
          </c:val>
          <c:smooth val="1"/>
        </c:ser>
        <c:hiLowLines>
          <c:spPr>
            <a:ln w="0">
              <a:noFill/>
            </a:ln>
          </c:spPr>
        </c:hiLowLines>
        <c:marker val="0"/>
        <c:axId val="66558901"/>
        <c:axId val="59762944"/>
      </c:lineChart>
      <c:catAx>
        <c:axId val="665589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62944"/>
        <c:crosses val="autoZero"/>
        <c:auto val="1"/>
        <c:lblAlgn val="ctr"/>
        <c:lblOffset val="100"/>
        <c:noMultiLvlLbl val="0"/>
      </c:catAx>
      <c:valAx>
        <c:axId val="597629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CAD</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55890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Monthly Expense Mix by Category</a:t>
            </a:r>
          </a:p>
        </c:rich>
      </c:tx>
      <c:overlay val="0"/>
      <c:spPr>
        <a:noFill/>
        <a:ln w="0">
          <a:noFill/>
        </a:ln>
      </c:spPr>
    </c:title>
    <c:autoTitleDeleted val="0"/>
    <c:plotArea>
      <c:pieChart>
        <c:varyColors val="1"/>
        <c:ser>
          <c:idx val="0"/>
          <c:order val="0"/>
          <c:tx>
            <c:strRef>
              <c:f>'Budget vs Actual'!I5</c:f>
              <c:strCache>
                <c:ptCount val="1"/>
                <c:pt idx="0">
                  <c:v>Avg Actual</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Pt>
            <c:idx val="9"/>
            <c:spPr>
              <a:solidFill>
                <a:srgbClr val="a99bbd"/>
              </a:solidFill>
              <a:ln w="0">
                <a:noFill/>
              </a:ln>
            </c:spPr>
          </c:dPt>
          <c:dPt>
            <c:idx val="10"/>
            <c:spPr>
              <a:solidFill>
                <a:srgbClr val="92c3d5"/>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dLbl>
              <c:idx val="9"/>
              <c:txPr>
                <a:bodyPr wrap="none"/>
                <a:lstStyle/>
                <a:p>
                  <a:pPr>
                    <a:defRPr b="0" sz="1000" spc="-1" strike="noStrike">
                      <a:latin typeface="Arial"/>
                    </a:defRPr>
                  </a:pPr>
                </a:p>
              </c:txPr>
              <c:showLegendKey val="0"/>
              <c:showVal val="0"/>
              <c:showCatName val="0"/>
              <c:showSerName val="0"/>
              <c:showPercent val="0"/>
              <c:separator> </c:separator>
            </c:dLbl>
            <c:dLbl>
              <c:idx val="10"/>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'Budget vs Actual'!$A$6:$A$16</c:f>
              <c:strCache>
                <c:ptCount val="11"/>
                <c:pt idx="0">
                  <c:v>Rent</c:v>
                </c:pt>
                <c:pt idx="1">
                  <c:v>Groceries</c:v>
                </c:pt>
                <c:pt idx="2">
                  <c:v>Transportation</c:v>
                </c:pt>
                <c:pt idx="3">
                  <c:v>Utilities</c:v>
                </c:pt>
                <c:pt idx="4">
                  <c:v>Phone &amp; Internet</c:v>
                </c:pt>
                <c:pt idx="5">
                  <c:v>Subscriptions</c:v>
                </c:pt>
                <c:pt idx="6">
                  <c:v>Dining Out</c:v>
                </c:pt>
                <c:pt idx="7">
                  <c:v>Personal Care</c:v>
                </c:pt>
                <c:pt idx="8">
                  <c:v>Entertainment</c:v>
                </c:pt>
                <c:pt idx="9">
                  <c:v>TFSA Transfer</c:v>
                </c:pt>
                <c:pt idx="10">
                  <c:v>Miscellaneous</c:v>
                </c:pt>
              </c:strCache>
            </c:strRef>
          </c:cat>
          <c:val>
            <c:numRef>
              <c:f>'Budget vs Actual'!$I$6:$I$16</c:f>
              <c:numCache>
                <c:formatCode>\$#,##0;"($"#,##0\);\-</c:formatCode>
                <c:ptCount val="11"/>
                <c:pt idx="0">
                  <c:v>1150</c:v>
                </c:pt>
                <c:pt idx="1">
                  <c:v>336.026666666667</c:v>
                </c:pt>
                <c:pt idx="2">
                  <c:v>100.733333333333</c:v>
                </c:pt>
                <c:pt idx="3">
                  <c:v>142.08</c:v>
                </c:pt>
                <c:pt idx="4">
                  <c:v>57.6833333333333</c:v>
                </c:pt>
                <c:pt idx="5">
                  <c:v>33.18</c:v>
                </c:pt>
                <c:pt idx="6">
                  <c:v>138.216666666667</c:v>
                </c:pt>
                <c:pt idx="7">
                  <c:v>73.0033333333333</c:v>
                </c:pt>
                <c:pt idx="8">
                  <c:v>91.1333333333333</c:v>
                </c:pt>
                <c:pt idx="9">
                  <c:v>401.248333333333</c:v>
                </c:pt>
                <c:pt idx="10">
                  <c:v>92.4133333333333</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Budget vs Actual Spend by Category (Avg Monthly)</a:t>
            </a:r>
          </a:p>
        </c:rich>
      </c:tx>
      <c:overlay val="0"/>
      <c:spPr>
        <a:noFill/>
        <a:ln w="0">
          <a:noFill/>
        </a:ln>
      </c:spPr>
    </c:title>
    <c:autoTitleDeleted val="0"/>
    <c:plotArea>
      <c:barChart>
        <c:barDir val="col"/>
        <c:grouping val="clustered"/>
        <c:varyColors val="0"/>
        <c:ser>
          <c:idx val="0"/>
          <c:order val="0"/>
          <c:tx>
            <c:strRef>
              <c:f>'Budget vs Actual'!B5</c:f>
              <c:strCache>
                <c:ptCount val="1"/>
                <c:pt idx="0">
                  <c:v>Monthly Budget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'Budget vs Actual'!$A$6:$A$16</c:f>
              <c:strCache>
                <c:ptCount val="11"/>
                <c:pt idx="0">
                  <c:v>Rent</c:v>
                </c:pt>
                <c:pt idx="1">
                  <c:v>Groceries</c:v>
                </c:pt>
                <c:pt idx="2">
                  <c:v>Transportation</c:v>
                </c:pt>
                <c:pt idx="3">
                  <c:v>Utilities</c:v>
                </c:pt>
                <c:pt idx="4">
                  <c:v>Phone &amp; Internet</c:v>
                </c:pt>
                <c:pt idx="5">
                  <c:v>Subscriptions</c:v>
                </c:pt>
                <c:pt idx="6">
                  <c:v>Dining Out</c:v>
                </c:pt>
                <c:pt idx="7">
                  <c:v>Personal Care</c:v>
                </c:pt>
                <c:pt idx="8">
                  <c:v>Entertainment</c:v>
                </c:pt>
                <c:pt idx="9">
                  <c:v>TFSA Transfer</c:v>
                </c:pt>
                <c:pt idx="10">
                  <c:v>Miscellaneous</c:v>
                </c:pt>
              </c:strCache>
            </c:strRef>
          </c:cat>
          <c:val>
            <c:numRef>
              <c:f>'Budget vs Actual'!$B$6:$B$16</c:f>
              <c:numCache>
                <c:formatCode>\$#,##0;"($"#,##0\);\-</c:formatCode>
                <c:ptCount val="11"/>
                <c:pt idx="0">
                  <c:v>1150</c:v>
                </c:pt>
                <c:pt idx="1">
                  <c:v>360</c:v>
                </c:pt>
                <c:pt idx="2">
                  <c:v>110</c:v>
                </c:pt>
                <c:pt idx="3">
                  <c:v>150</c:v>
                </c:pt>
                <c:pt idx="4">
                  <c:v>60</c:v>
                </c:pt>
                <c:pt idx="5">
                  <c:v>40</c:v>
                </c:pt>
                <c:pt idx="6">
                  <c:v>150</c:v>
                </c:pt>
                <c:pt idx="7">
                  <c:v>80</c:v>
                </c:pt>
                <c:pt idx="8">
                  <c:v>90</c:v>
                </c:pt>
                <c:pt idx="9">
                  <c:v>400</c:v>
                </c:pt>
                <c:pt idx="10">
                  <c:v>100</c:v>
                </c:pt>
              </c:numCache>
            </c:numRef>
          </c:val>
        </c:ser>
        <c:ser>
          <c:idx val="1"/>
          <c:order val="1"/>
          <c:tx>
            <c:strRef>
              <c:f>'Budget vs Actual'!I5</c:f>
              <c:strCache>
                <c:ptCount val="1"/>
                <c:pt idx="0">
                  <c:v>Avg Actual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'Budget vs Actual'!$A$6:$A$16</c:f>
              <c:strCache>
                <c:ptCount val="11"/>
                <c:pt idx="0">
                  <c:v>Rent</c:v>
                </c:pt>
                <c:pt idx="1">
                  <c:v>Groceries</c:v>
                </c:pt>
                <c:pt idx="2">
                  <c:v>Transportation</c:v>
                </c:pt>
                <c:pt idx="3">
                  <c:v>Utilities</c:v>
                </c:pt>
                <c:pt idx="4">
                  <c:v>Phone &amp; Internet</c:v>
                </c:pt>
                <c:pt idx="5">
                  <c:v>Subscriptions</c:v>
                </c:pt>
                <c:pt idx="6">
                  <c:v>Dining Out</c:v>
                </c:pt>
                <c:pt idx="7">
                  <c:v>Personal Care</c:v>
                </c:pt>
                <c:pt idx="8">
                  <c:v>Entertainment</c:v>
                </c:pt>
                <c:pt idx="9">
                  <c:v>TFSA Transfer</c:v>
                </c:pt>
                <c:pt idx="10">
                  <c:v>Miscellaneous</c:v>
                </c:pt>
              </c:strCache>
            </c:strRef>
          </c:cat>
          <c:val>
            <c:numRef>
              <c:f>'Budget vs Actual'!$I$6:$I$16</c:f>
              <c:numCache>
                <c:formatCode>\$#,##0;"($"#,##0\);\-</c:formatCode>
                <c:ptCount val="11"/>
                <c:pt idx="0">
                  <c:v>1150</c:v>
                </c:pt>
                <c:pt idx="1">
                  <c:v>336.026666666667</c:v>
                </c:pt>
                <c:pt idx="2">
                  <c:v>100.733333333333</c:v>
                </c:pt>
                <c:pt idx="3">
                  <c:v>142.08</c:v>
                </c:pt>
                <c:pt idx="4">
                  <c:v>57.6833333333333</c:v>
                </c:pt>
                <c:pt idx="5">
                  <c:v>33.18</c:v>
                </c:pt>
                <c:pt idx="6">
                  <c:v>138.216666666667</c:v>
                </c:pt>
                <c:pt idx="7">
                  <c:v>73.0033333333333</c:v>
                </c:pt>
                <c:pt idx="8">
                  <c:v>91.1333333333333</c:v>
                </c:pt>
                <c:pt idx="9">
                  <c:v>401.248333333333</c:v>
                </c:pt>
                <c:pt idx="10">
                  <c:v>92.4133333333333</c:v>
                </c:pt>
              </c:numCache>
            </c:numRef>
          </c:val>
        </c:ser>
        <c:gapWidth val="150"/>
        <c:overlap val="0"/>
        <c:axId val="85113027"/>
        <c:axId val="3410383"/>
      </c:barChart>
      <c:catAx>
        <c:axId val="851130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0383"/>
        <c:crosses val="autoZero"/>
        <c:auto val="1"/>
        <c:lblAlgn val="ctr"/>
        <c:lblOffset val="100"/>
        <c:noMultiLvlLbl val="0"/>
      </c:catAx>
      <c:valAx>
        <c:axId val="34103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CAD</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130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0</xdr:rowOff>
    </xdr:from>
    <xdr:to>
      <xdr:col>7</xdr:col>
      <xdr:colOff>332280</xdr:colOff>
      <xdr:row>24</xdr:row>
      <xdr:rowOff>22320</xdr:rowOff>
    </xdr:to>
    <xdr:graphicFrame>
      <xdr:nvGraphicFramePr>
        <xdr:cNvPr id="0" name="Chart 1"/>
        <xdr:cNvGraphicFramePr/>
      </xdr:nvGraphicFramePr>
      <xdr:xfrm>
        <a:off x="0" y="19432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9</xdr:row>
      <xdr:rowOff>0</xdr:rowOff>
    </xdr:from>
    <xdr:to>
      <xdr:col>15</xdr:col>
      <xdr:colOff>48600</xdr:colOff>
      <xdr:row>24</xdr:row>
      <xdr:rowOff>22320</xdr:rowOff>
    </xdr:to>
    <xdr:graphicFrame>
      <xdr:nvGraphicFramePr>
        <xdr:cNvPr id="1" name="Chart 2"/>
        <xdr:cNvGraphicFramePr/>
      </xdr:nvGraphicFramePr>
      <xdr:xfrm>
        <a:off x="5427360" y="194328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0</xdr:rowOff>
    </xdr:from>
    <xdr:to>
      <xdr:col>7</xdr:col>
      <xdr:colOff>332280</xdr:colOff>
      <xdr:row>43</xdr:row>
      <xdr:rowOff>1080</xdr:rowOff>
    </xdr:to>
    <xdr:graphicFrame>
      <xdr:nvGraphicFramePr>
        <xdr:cNvPr id="2" name="Chart 3"/>
        <xdr:cNvGraphicFramePr/>
      </xdr:nvGraphicFramePr>
      <xdr:xfrm>
        <a:off x="0" y="5181480"/>
        <a:ext cx="57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26</xdr:row>
      <xdr:rowOff>0</xdr:rowOff>
    </xdr:from>
    <xdr:to>
      <xdr:col>15</xdr:col>
      <xdr:colOff>48600</xdr:colOff>
      <xdr:row>43</xdr:row>
      <xdr:rowOff>1080</xdr:rowOff>
    </xdr:to>
    <xdr:graphicFrame>
      <xdr:nvGraphicFramePr>
        <xdr:cNvPr id="3" name="Chart 4"/>
        <xdr:cNvGraphicFramePr/>
      </xdr:nvGraphicFramePr>
      <xdr:xfrm>
        <a:off x="5427360" y="5181480"/>
        <a:ext cx="575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0" width="11"/>
  </cols>
  <sheetData>
    <row r="1" customFormat="false" ht="25.5" hidden="false" customHeight="true" outlineLevel="0" collapsed="false">
      <c r="A1" s="1" t="s">
        <v>0</v>
      </c>
      <c r="B1" s="1"/>
      <c r="C1" s="1"/>
      <c r="D1" s="1"/>
      <c r="E1" s="1"/>
      <c r="F1" s="1"/>
      <c r="G1" s="1"/>
      <c r="H1" s="1"/>
      <c r="I1" s="1"/>
      <c r="J1" s="1"/>
      <c r="K1" s="1"/>
      <c r="L1" s="1"/>
    </row>
    <row r="2" customFormat="false" ht="7.5" hidden="false" customHeight="true" outlineLevel="0" collapsed="false">
      <c r="A2" s="1"/>
      <c r="B2" s="1"/>
      <c r="C2" s="1"/>
      <c r="D2" s="1"/>
      <c r="E2" s="1"/>
      <c r="F2" s="1"/>
      <c r="G2" s="1"/>
      <c r="H2" s="1"/>
      <c r="I2" s="1"/>
      <c r="J2" s="1"/>
      <c r="K2" s="1"/>
      <c r="L2" s="1"/>
    </row>
    <row r="3" customFormat="false" ht="15.75" hidden="false" customHeight="true" outlineLevel="0" collapsed="false">
      <c r="A3" s="2" t="s">
        <v>1</v>
      </c>
      <c r="B3" s="2"/>
      <c r="C3" s="2"/>
      <c r="D3" s="2"/>
      <c r="E3" s="2"/>
      <c r="F3" s="2"/>
      <c r="G3" s="2"/>
      <c r="H3" s="2"/>
      <c r="I3" s="2"/>
      <c r="J3" s="2"/>
      <c r="K3" s="2"/>
      <c r="L3" s="2"/>
    </row>
    <row r="5" customFormat="false" ht="15.75" hidden="false" customHeight="true" outlineLevel="0" collapsed="false">
      <c r="A5" s="3" t="s">
        <v>2</v>
      </c>
      <c r="B5" s="3"/>
      <c r="C5" s="3" t="s">
        <v>3</v>
      </c>
      <c r="D5" s="3"/>
      <c r="E5" s="3" t="s">
        <v>4</v>
      </c>
      <c r="F5" s="3"/>
      <c r="G5" s="3" t="s">
        <v>5</v>
      </c>
      <c r="H5" s="3"/>
      <c r="I5" s="3" t="s">
        <v>6</v>
      </c>
      <c r="J5" s="3"/>
    </row>
    <row r="6" customFormat="false" ht="21.75" hidden="false" customHeight="true" outlineLevel="0" collapsed="false">
      <c r="A6" s="4" t="n">
        <f aca="false">'Monthly Summary'!B12</f>
        <v>21419.43</v>
      </c>
      <c r="B6" s="4"/>
      <c r="C6" s="4" t="n">
        <f aca="false">'Monthly Summary'!C12</f>
        <v>15694.31</v>
      </c>
      <c r="D6" s="4"/>
      <c r="E6" s="4" t="n">
        <f aca="false">'Monthly Summary'!D12</f>
        <v>5725.12</v>
      </c>
      <c r="F6" s="4"/>
      <c r="G6" s="5" t="n">
        <f aca="false">'Monthly Summary'!E12</f>
        <v>0.26649466334545</v>
      </c>
      <c r="H6" s="5"/>
      <c r="I6" s="4" t="n">
        <f aca="false">'Monthly Summary'!F12</f>
        <v>7020</v>
      </c>
      <c r="J6" s="4"/>
    </row>
    <row r="7" customFormat="false" ht="21.75" hidden="false" customHeight="true" outlineLevel="0" collapsed="false">
      <c r="A7" s="4"/>
      <c r="B7" s="4"/>
      <c r="C7" s="4"/>
      <c r="D7" s="4"/>
      <c r="E7" s="4"/>
      <c r="F7" s="4"/>
      <c r="G7" s="5"/>
      <c r="H7" s="5"/>
      <c r="I7" s="4"/>
      <c r="J7" s="4"/>
    </row>
  </sheetData>
  <mergeCells count="12">
    <mergeCell ref="A1:L2"/>
    <mergeCell ref="A3:L3"/>
    <mergeCell ref="A5:B5"/>
    <mergeCell ref="C5:D5"/>
    <mergeCell ref="E5:F5"/>
    <mergeCell ref="G5:H5"/>
    <mergeCell ref="I5:J5"/>
    <mergeCell ref="A6:B7"/>
    <mergeCell ref="C6:D7"/>
    <mergeCell ref="E6:F7"/>
    <mergeCell ref="G6:H7"/>
    <mergeCell ref="I6: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6" min="2" style="0" width="15"/>
  </cols>
  <sheetData>
    <row r="1" customFormat="false" ht="25.5" hidden="false" customHeight="true" outlineLevel="0" collapsed="false">
      <c r="A1" s="1" t="s">
        <v>0</v>
      </c>
      <c r="B1" s="1"/>
      <c r="C1" s="1"/>
      <c r="D1" s="1"/>
      <c r="E1" s="1"/>
      <c r="F1" s="1"/>
    </row>
    <row r="2" customFormat="false" ht="7.5" hidden="false" customHeight="true" outlineLevel="0" collapsed="false">
      <c r="A2" s="1"/>
      <c r="B2" s="1"/>
      <c r="C2" s="1"/>
      <c r="D2" s="1"/>
      <c r="E2" s="1"/>
      <c r="F2" s="1"/>
    </row>
    <row r="3" customFormat="false" ht="15.75" hidden="false" customHeight="true" outlineLevel="0" collapsed="false">
      <c r="A3" s="2" t="s">
        <v>7</v>
      </c>
      <c r="B3" s="2"/>
      <c r="C3" s="2"/>
      <c r="D3" s="2"/>
      <c r="E3" s="2"/>
      <c r="F3" s="2"/>
    </row>
    <row r="5" customFormat="false" ht="27.75" hidden="false" customHeight="true" outlineLevel="0" collapsed="false">
      <c r="A5" s="6" t="s">
        <v>8</v>
      </c>
      <c r="B5" s="7" t="s">
        <v>9</v>
      </c>
      <c r="C5" s="7"/>
      <c r="D5" s="7"/>
      <c r="E5" s="7"/>
      <c r="F5" s="7"/>
    </row>
    <row r="6" customFormat="false" ht="27.75" hidden="false" customHeight="true" outlineLevel="0" collapsed="false">
      <c r="A6" s="6" t="s">
        <v>10</v>
      </c>
      <c r="B6" s="7" t="s">
        <v>11</v>
      </c>
      <c r="C6" s="7"/>
      <c r="D6" s="7"/>
      <c r="E6" s="7"/>
      <c r="F6" s="7"/>
    </row>
    <row r="7" customFormat="false" ht="27.75" hidden="false" customHeight="true" outlineLevel="0" collapsed="false">
      <c r="A7" s="6"/>
      <c r="B7" s="7"/>
      <c r="C7" s="7"/>
      <c r="D7" s="7"/>
      <c r="E7" s="7"/>
      <c r="F7" s="7"/>
    </row>
    <row r="8" customFormat="false" ht="15" hidden="false" customHeight="false" outlineLevel="0" collapsed="false">
      <c r="A8" s="8" t="s">
        <v>12</v>
      </c>
    </row>
    <row r="9" customFormat="false" ht="27.75" hidden="false" customHeight="true" outlineLevel="0" collapsed="false">
      <c r="A9" s="6" t="s">
        <v>13</v>
      </c>
      <c r="B9" s="7" t="s">
        <v>14</v>
      </c>
      <c r="C9" s="7"/>
      <c r="D9" s="7"/>
      <c r="E9" s="7"/>
      <c r="F9" s="7"/>
    </row>
    <row r="10" customFormat="false" ht="27.75" hidden="false" customHeight="true" outlineLevel="0" collapsed="false">
      <c r="A10" s="6" t="s">
        <v>15</v>
      </c>
      <c r="B10" s="7" t="s">
        <v>16</v>
      </c>
      <c r="C10" s="7"/>
      <c r="D10" s="7"/>
      <c r="E10" s="7"/>
      <c r="F10" s="7"/>
    </row>
    <row r="11" customFormat="false" ht="27.75" hidden="false" customHeight="true" outlineLevel="0" collapsed="false">
      <c r="A11" s="6" t="s">
        <v>17</v>
      </c>
      <c r="B11" s="7" t="s">
        <v>18</v>
      </c>
      <c r="C11" s="7"/>
      <c r="D11" s="7"/>
      <c r="E11" s="7"/>
      <c r="F11" s="7"/>
    </row>
    <row r="12" customFormat="false" ht="27.75" hidden="false" customHeight="true" outlineLevel="0" collapsed="false">
      <c r="A12" s="6" t="s">
        <v>19</v>
      </c>
      <c r="B12" s="7" t="s">
        <v>20</v>
      </c>
      <c r="C12" s="7"/>
      <c r="D12" s="7"/>
      <c r="E12" s="7"/>
      <c r="F12" s="7"/>
    </row>
    <row r="13" customFormat="false" ht="27.75" hidden="false" customHeight="true" outlineLevel="0" collapsed="false">
      <c r="A13" s="6" t="s">
        <v>21</v>
      </c>
      <c r="B13" s="7" t="s">
        <v>22</v>
      </c>
      <c r="C13" s="7"/>
      <c r="D13" s="7"/>
      <c r="E13" s="7"/>
      <c r="F13" s="7"/>
    </row>
    <row r="14" customFormat="false" ht="27.75" hidden="false" customHeight="true" outlineLevel="0" collapsed="false">
      <c r="A14" s="6"/>
      <c r="B14" s="7"/>
      <c r="C14" s="7"/>
      <c r="D14" s="7"/>
      <c r="E14" s="7"/>
      <c r="F14" s="7"/>
    </row>
    <row r="15" customFormat="false" ht="15" hidden="false" customHeight="false" outlineLevel="0" collapsed="false">
      <c r="A15" s="8" t="s">
        <v>23</v>
      </c>
    </row>
    <row r="16" customFormat="false" ht="27.75" hidden="false" customHeight="true" outlineLevel="0" collapsed="false">
      <c r="A16" s="6" t="s">
        <v>24</v>
      </c>
      <c r="B16" s="7" t="s">
        <v>25</v>
      </c>
      <c r="C16" s="7"/>
      <c r="D16" s="7"/>
      <c r="E16" s="7"/>
      <c r="F16" s="7"/>
    </row>
    <row r="17" customFormat="false" ht="27.75" hidden="false" customHeight="true" outlineLevel="0" collapsed="false">
      <c r="A17" s="6" t="s">
        <v>26</v>
      </c>
      <c r="B17" s="7" t="s">
        <v>27</v>
      </c>
      <c r="C17" s="7"/>
      <c r="D17" s="7"/>
      <c r="E17" s="7"/>
      <c r="F17" s="7"/>
    </row>
    <row r="18" customFormat="false" ht="27.75" hidden="false" customHeight="true" outlineLevel="0" collapsed="false">
      <c r="A18" s="6"/>
      <c r="B18" s="7"/>
      <c r="C18" s="7"/>
      <c r="D18" s="7"/>
      <c r="E18" s="7"/>
      <c r="F18" s="7"/>
    </row>
    <row r="19" customFormat="false" ht="27.75" hidden="false" customHeight="true" outlineLevel="0" collapsed="false">
      <c r="A19" s="6" t="s">
        <v>28</v>
      </c>
      <c r="B19" s="7" t="s">
        <v>29</v>
      </c>
      <c r="C19" s="7"/>
      <c r="D19" s="7"/>
      <c r="E19" s="7"/>
      <c r="F19" s="7"/>
    </row>
    <row r="20" customFormat="false" ht="27.75" hidden="false" customHeight="true" outlineLevel="0" collapsed="false">
      <c r="A20" s="6" t="s">
        <v>30</v>
      </c>
      <c r="B20" s="7" t="s">
        <v>31</v>
      </c>
      <c r="C20" s="7"/>
      <c r="D20" s="7"/>
      <c r="E20" s="7"/>
      <c r="F20" s="7"/>
    </row>
  </sheetData>
  <mergeCells count="16">
    <mergeCell ref="A1:F2"/>
    <mergeCell ref="A3:F3"/>
    <mergeCell ref="B5:F5"/>
    <mergeCell ref="B6:F6"/>
    <mergeCell ref="B7:F7"/>
    <mergeCell ref="B9:F9"/>
    <mergeCell ref="B10:F10"/>
    <mergeCell ref="B11:F11"/>
    <mergeCell ref="B12:F12"/>
    <mergeCell ref="B13:F13"/>
    <mergeCell ref="B14:F14"/>
    <mergeCell ref="B16:F16"/>
    <mergeCell ref="B17:F17"/>
    <mergeCell ref="B18:F18"/>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4" min="4" style="0" width="16"/>
    <col collapsed="false" customWidth="true" hidden="false" outlineLevel="0" max="5" min="5" style="0" width="30"/>
    <col collapsed="false" customWidth="true" hidden="false" outlineLevel="0" max="6" min="6" style="0" width="12"/>
  </cols>
  <sheetData>
    <row r="1" customFormat="false" ht="25.5" hidden="false" customHeight="true" outlineLevel="0" collapsed="false">
      <c r="A1" s="1" t="s">
        <v>32</v>
      </c>
      <c r="B1" s="1"/>
      <c r="C1" s="1"/>
      <c r="D1" s="1"/>
      <c r="E1" s="1"/>
      <c r="F1" s="1"/>
    </row>
    <row r="2" customFormat="false" ht="7.5" hidden="false" customHeight="true" outlineLevel="0" collapsed="false">
      <c r="A2" s="1"/>
      <c r="B2" s="1"/>
      <c r="C2" s="1"/>
      <c r="D2" s="1"/>
      <c r="E2" s="1"/>
      <c r="F2" s="1"/>
    </row>
    <row r="3" customFormat="false" ht="15.75" hidden="false" customHeight="true" outlineLevel="0" collapsed="false">
      <c r="A3" s="2" t="s">
        <v>33</v>
      </c>
      <c r="B3" s="2"/>
      <c r="C3" s="2"/>
      <c r="D3" s="2"/>
      <c r="E3" s="2"/>
      <c r="F3" s="2"/>
    </row>
    <row r="5" customFormat="false" ht="21.75" hidden="false" customHeight="true" outlineLevel="0" collapsed="false">
      <c r="A5" s="9" t="s">
        <v>34</v>
      </c>
      <c r="B5" s="9" t="s">
        <v>35</v>
      </c>
      <c r="C5" s="9" t="s">
        <v>36</v>
      </c>
      <c r="D5" s="9" t="s">
        <v>37</v>
      </c>
      <c r="E5" s="9" t="s">
        <v>38</v>
      </c>
      <c r="F5" s="9" t="s">
        <v>39</v>
      </c>
    </row>
    <row r="6" customFormat="false" ht="15" hidden="false" customHeight="false" outlineLevel="0" collapsed="false">
      <c r="A6" s="10" t="n">
        <v>46058</v>
      </c>
      <c r="B6" s="11" t="s">
        <v>40</v>
      </c>
      <c r="C6" s="12" t="s">
        <v>41</v>
      </c>
      <c r="D6" s="12" t="s">
        <v>42</v>
      </c>
      <c r="E6" s="12" t="s">
        <v>43</v>
      </c>
      <c r="F6" s="13" t="n">
        <v>1721.97</v>
      </c>
    </row>
    <row r="7" customFormat="false" ht="15" hidden="false" customHeight="false" outlineLevel="0" collapsed="false">
      <c r="A7" s="14" t="n">
        <v>46072</v>
      </c>
      <c r="B7" s="15" t="s">
        <v>40</v>
      </c>
      <c r="C7" s="16" t="s">
        <v>41</v>
      </c>
      <c r="D7" s="16" t="s">
        <v>42</v>
      </c>
      <c r="E7" s="16" t="s">
        <v>43</v>
      </c>
      <c r="F7" s="17" t="n">
        <v>1691.25</v>
      </c>
    </row>
    <row r="8" customFormat="false" ht="15" hidden="false" customHeight="false" outlineLevel="0" collapsed="false">
      <c r="A8" s="10" t="n">
        <v>46070</v>
      </c>
      <c r="B8" s="11" t="s">
        <v>40</v>
      </c>
      <c r="C8" s="12" t="s">
        <v>41</v>
      </c>
      <c r="D8" s="12" t="s">
        <v>44</v>
      </c>
      <c r="E8" s="12" t="s">
        <v>45</v>
      </c>
      <c r="F8" s="13" t="n">
        <v>147.91</v>
      </c>
    </row>
    <row r="9" customFormat="false" ht="15" hidden="false" customHeight="false" outlineLevel="0" collapsed="false">
      <c r="A9" s="14" t="n">
        <v>46057</v>
      </c>
      <c r="B9" s="15" t="s">
        <v>40</v>
      </c>
      <c r="C9" s="16" t="s">
        <v>46</v>
      </c>
      <c r="D9" s="16" t="s">
        <v>47</v>
      </c>
      <c r="E9" s="16" t="s">
        <v>48</v>
      </c>
      <c r="F9" s="17" t="n">
        <v>1150</v>
      </c>
    </row>
    <row r="10" customFormat="false" ht="15" hidden="false" customHeight="false" outlineLevel="0" collapsed="false">
      <c r="A10" s="10" t="n">
        <v>46071</v>
      </c>
      <c r="B10" s="11" t="s">
        <v>40</v>
      </c>
      <c r="C10" s="12" t="s">
        <v>46</v>
      </c>
      <c r="D10" s="12" t="s">
        <v>49</v>
      </c>
      <c r="E10" s="12" t="s">
        <v>50</v>
      </c>
      <c r="F10" s="13" t="n">
        <v>306.96</v>
      </c>
    </row>
    <row r="11" customFormat="false" ht="15" hidden="false" customHeight="false" outlineLevel="0" collapsed="false">
      <c r="A11" s="14" t="n">
        <v>46067</v>
      </c>
      <c r="B11" s="15" t="s">
        <v>40</v>
      </c>
      <c r="C11" s="16" t="s">
        <v>46</v>
      </c>
      <c r="D11" s="16" t="s">
        <v>51</v>
      </c>
      <c r="E11" s="16" t="s">
        <v>52</v>
      </c>
      <c r="F11" s="17" t="n">
        <v>86.11</v>
      </c>
    </row>
    <row r="12" customFormat="false" ht="15" hidden="false" customHeight="false" outlineLevel="0" collapsed="false">
      <c r="A12" s="10" t="n">
        <v>46056</v>
      </c>
      <c r="B12" s="11" t="s">
        <v>40</v>
      </c>
      <c r="C12" s="12" t="s">
        <v>46</v>
      </c>
      <c r="D12" s="12" t="s">
        <v>53</v>
      </c>
      <c r="E12" s="12" t="s">
        <v>54</v>
      </c>
      <c r="F12" s="13" t="n">
        <v>137.65</v>
      </c>
    </row>
    <row r="13" customFormat="false" ht="15" hidden="false" customHeight="false" outlineLevel="0" collapsed="false">
      <c r="A13" s="14" t="n">
        <v>46070</v>
      </c>
      <c r="B13" s="15" t="s">
        <v>40</v>
      </c>
      <c r="C13" s="16" t="s">
        <v>46</v>
      </c>
      <c r="D13" s="16" t="s">
        <v>55</v>
      </c>
      <c r="E13" s="16" t="s">
        <v>56</v>
      </c>
      <c r="F13" s="17" t="n">
        <v>58.01</v>
      </c>
    </row>
    <row r="14" customFormat="false" ht="15" hidden="false" customHeight="false" outlineLevel="0" collapsed="false">
      <c r="A14" s="10" t="n">
        <v>46071</v>
      </c>
      <c r="B14" s="11" t="s">
        <v>40</v>
      </c>
      <c r="C14" s="12" t="s">
        <v>46</v>
      </c>
      <c r="D14" s="12" t="s">
        <v>57</v>
      </c>
      <c r="E14" s="12" t="s">
        <v>58</v>
      </c>
      <c r="F14" s="13" t="n">
        <v>31.59</v>
      </c>
    </row>
    <row r="15" customFormat="false" ht="15" hidden="false" customHeight="false" outlineLevel="0" collapsed="false">
      <c r="A15" s="14" t="n">
        <v>46074</v>
      </c>
      <c r="B15" s="15" t="s">
        <v>40</v>
      </c>
      <c r="C15" s="16" t="s">
        <v>46</v>
      </c>
      <c r="D15" s="16" t="s">
        <v>59</v>
      </c>
      <c r="E15" s="16" t="s">
        <v>60</v>
      </c>
      <c r="F15" s="17" t="n">
        <v>151.11</v>
      </c>
    </row>
    <row r="16" customFormat="false" ht="15" hidden="false" customHeight="false" outlineLevel="0" collapsed="false">
      <c r="A16" s="10" t="n">
        <v>46067</v>
      </c>
      <c r="B16" s="11" t="s">
        <v>40</v>
      </c>
      <c r="C16" s="12" t="s">
        <v>46</v>
      </c>
      <c r="D16" s="12" t="s">
        <v>61</v>
      </c>
      <c r="E16" s="12" t="s">
        <v>62</v>
      </c>
      <c r="F16" s="13" t="n">
        <v>54.92</v>
      </c>
    </row>
    <row r="17" customFormat="false" ht="15" hidden="false" customHeight="false" outlineLevel="0" collapsed="false">
      <c r="A17" s="14" t="n">
        <v>46072</v>
      </c>
      <c r="B17" s="15" t="s">
        <v>40</v>
      </c>
      <c r="C17" s="16" t="s">
        <v>46</v>
      </c>
      <c r="D17" s="16" t="s">
        <v>63</v>
      </c>
      <c r="E17" s="16" t="s">
        <v>64</v>
      </c>
      <c r="F17" s="17" t="n">
        <v>70.3</v>
      </c>
    </row>
    <row r="18" customFormat="false" ht="15" hidden="false" customHeight="false" outlineLevel="0" collapsed="false">
      <c r="A18" s="10" t="n">
        <v>46054</v>
      </c>
      <c r="B18" s="11" t="s">
        <v>40</v>
      </c>
      <c r="C18" s="12" t="s">
        <v>46</v>
      </c>
      <c r="D18" s="12" t="s">
        <v>65</v>
      </c>
      <c r="E18" s="12" t="s">
        <v>66</v>
      </c>
      <c r="F18" s="13" t="n">
        <v>425.88</v>
      </c>
    </row>
    <row r="19" customFormat="false" ht="15" hidden="false" customHeight="false" outlineLevel="0" collapsed="false">
      <c r="A19" s="14" t="n">
        <v>46059</v>
      </c>
      <c r="B19" s="15" t="s">
        <v>40</v>
      </c>
      <c r="C19" s="16" t="s">
        <v>46</v>
      </c>
      <c r="D19" s="16" t="s">
        <v>67</v>
      </c>
      <c r="E19" s="16" t="s">
        <v>68</v>
      </c>
      <c r="F19" s="17" t="n">
        <v>109.81</v>
      </c>
    </row>
    <row r="20" customFormat="false" ht="15" hidden="false" customHeight="false" outlineLevel="0" collapsed="false">
      <c r="A20" s="10" t="n">
        <v>46086</v>
      </c>
      <c r="B20" s="11" t="s">
        <v>69</v>
      </c>
      <c r="C20" s="12" t="s">
        <v>41</v>
      </c>
      <c r="D20" s="12" t="s">
        <v>42</v>
      </c>
      <c r="E20" s="12" t="s">
        <v>43</v>
      </c>
      <c r="F20" s="13" t="n">
        <v>1707.01</v>
      </c>
    </row>
    <row r="21" customFormat="false" ht="15" hidden="false" customHeight="false" outlineLevel="0" collapsed="false">
      <c r="A21" s="14" t="n">
        <v>46100</v>
      </c>
      <c r="B21" s="15" t="s">
        <v>69</v>
      </c>
      <c r="C21" s="16" t="s">
        <v>41</v>
      </c>
      <c r="D21" s="16" t="s">
        <v>42</v>
      </c>
      <c r="E21" s="16" t="s">
        <v>43</v>
      </c>
      <c r="F21" s="17" t="n">
        <v>1697.77</v>
      </c>
    </row>
    <row r="22" customFormat="false" ht="15" hidden="false" customHeight="false" outlineLevel="0" collapsed="false">
      <c r="A22" s="10" t="n">
        <v>46092</v>
      </c>
      <c r="B22" s="11" t="s">
        <v>69</v>
      </c>
      <c r="C22" s="12" t="s">
        <v>46</v>
      </c>
      <c r="D22" s="12" t="s">
        <v>47</v>
      </c>
      <c r="E22" s="12" t="s">
        <v>48</v>
      </c>
      <c r="F22" s="13" t="n">
        <v>1150</v>
      </c>
    </row>
    <row r="23" customFormat="false" ht="15" hidden="false" customHeight="false" outlineLevel="0" collapsed="false">
      <c r="A23" s="14" t="n">
        <v>46094</v>
      </c>
      <c r="B23" s="15" t="s">
        <v>69</v>
      </c>
      <c r="C23" s="16" t="s">
        <v>46</v>
      </c>
      <c r="D23" s="16" t="s">
        <v>49</v>
      </c>
      <c r="E23" s="16" t="s">
        <v>50</v>
      </c>
      <c r="F23" s="17" t="n">
        <v>307.74</v>
      </c>
    </row>
    <row r="24" customFormat="false" ht="15" hidden="false" customHeight="false" outlineLevel="0" collapsed="false">
      <c r="A24" s="10" t="n">
        <v>46093</v>
      </c>
      <c r="B24" s="11" t="s">
        <v>69</v>
      </c>
      <c r="C24" s="12" t="s">
        <v>46</v>
      </c>
      <c r="D24" s="12" t="s">
        <v>51</v>
      </c>
      <c r="E24" s="12" t="s">
        <v>52</v>
      </c>
      <c r="F24" s="13" t="n">
        <v>106.13</v>
      </c>
    </row>
    <row r="25" customFormat="false" ht="15" hidden="false" customHeight="false" outlineLevel="0" collapsed="false">
      <c r="A25" s="14" t="n">
        <v>46107</v>
      </c>
      <c r="B25" s="15" t="s">
        <v>69</v>
      </c>
      <c r="C25" s="16" t="s">
        <v>46</v>
      </c>
      <c r="D25" s="16" t="s">
        <v>53</v>
      </c>
      <c r="E25" s="16" t="s">
        <v>54</v>
      </c>
      <c r="F25" s="17" t="n">
        <v>131.52</v>
      </c>
    </row>
    <row r="26" customFormat="false" ht="15" hidden="false" customHeight="false" outlineLevel="0" collapsed="false">
      <c r="A26" s="10" t="n">
        <v>46096</v>
      </c>
      <c r="B26" s="11" t="s">
        <v>69</v>
      </c>
      <c r="C26" s="12" t="s">
        <v>46</v>
      </c>
      <c r="D26" s="12" t="s">
        <v>55</v>
      </c>
      <c r="E26" s="12" t="s">
        <v>56</v>
      </c>
      <c r="F26" s="13" t="n">
        <v>57.68</v>
      </c>
    </row>
    <row r="27" customFormat="false" ht="15" hidden="false" customHeight="false" outlineLevel="0" collapsed="false">
      <c r="A27" s="14" t="n">
        <v>46094</v>
      </c>
      <c r="B27" s="15" t="s">
        <v>69</v>
      </c>
      <c r="C27" s="16" t="s">
        <v>46</v>
      </c>
      <c r="D27" s="16" t="s">
        <v>57</v>
      </c>
      <c r="E27" s="16" t="s">
        <v>58</v>
      </c>
      <c r="F27" s="17" t="n">
        <v>30.63</v>
      </c>
    </row>
    <row r="28" customFormat="false" ht="15" hidden="false" customHeight="false" outlineLevel="0" collapsed="false">
      <c r="A28" s="10" t="n">
        <v>46091</v>
      </c>
      <c r="B28" s="11" t="s">
        <v>69</v>
      </c>
      <c r="C28" s="12" t="s">
        <v>46</v>
      </c>
      <c r="D28" s="12" t="s">
        <v>59</v>
      </c>
      <c r="E28" s="12" t="s">
        <v>60</v>
      </c>
      <c r="F28" s="13" t="n">
        <v>161.35</v>
      </c>
    </row>
    <row r="29" customFormat="false" ht="15" hidden="false" customHeight="false" outlineLevel="0" collapsed="false">
      <c r="A29" s="14" t="n">
        <v>46101</v>
      </c>
      <c r="B29" s="15" t="s">
        <v>69</v>
      </c>
      <c r="C29" s="16" t="s">
        <v>46</v>
      </c>
      <c r="D29" s="16" t="s">
        <v>61</v>
      </c>
      <c r="E29" s="16" t="s">
        <v>62</v>
      </c>
      <c r="F29" s="17" t="n">
        <v>84.85</v>
      </c>
    </row>
    <row r="30" customFormat="false" ht="15" hidden="false" customHeight="false" outlineLevel="0" collapsed="false">
      <c r="A30" s="10" t="n">
        <v>46093</v>
      </c>
      <c r="B30" s="11" t="s">
        <v>69</v>
      </c>
      <c r="C30" s="12" t="s">
        <v>46</v>
      </c>
      <c r="D30" s="12" t="s">
        <v>63</v>
      </c>
      <c r="E30" s="12" t="s">
        <v>64</v>
      </c>
      <c r="F30" s="13" t="n">
        <v>86.75</v>
      </c>
    </row>
    <row r="31" customFormat="false" ht="15" hidden="false" customHeight="false" outlineLevel="0" collapsed="false">
      <c r="A31" s="14" t="n">
        <v>46104</v>
      </c>
      <c r="B31" s="15" t="s">
        <v>69</v>
      </c>
      <c r="C31" s="16" t="s">
        <v>46</v>
      </c>
      <c r="D31" s="16" t="s">
        <v>65</v>
      </c>
      <c r="E31" s="16" t="s">
        <v>66</v>
      </c>
      <c r="F31" s="17" t="n">
        <v>356.96</v>
      </c>
    </row>
    <row r="32" customFormat="false" ht="15" hidden="false" customHeight="false" outlineLevel="0" collapsed="false">
      <c r="A32" s="10" t="n">
        <v>46103</v>
      </c>
      <c r="B32" s="11" t="s">
        <v>69</v>
      </c>
      <c r="C32" s="12" t="s">
        <v>46</v>
      </c>
      <c r="D32" s="12" t="s">
        <v>67</v>
      </c>
      <c r="E32" s="12" t="s">
        <v>68</v>
      </c>
      <c r="F32" s="13" t="n">
        <v>62.79</v>
      </c>
    </row>
    <row r="33" customFormat="false" ht="15" hidden="false" customHeight="false" outlineLevel="0" collapsed="false">
      <c r="A33" s="14" t="n">
        <v>46117</v>
      </c>
      <c r="B33" s="15" t="s">
        <v>70</v>
      </c>
      <c r="C33" s="16" t="s">
        <v>41</v>
      </c>
      <c r="D33" s="16" t="s">
        <v>42</v>
      </c>
      <c r="E33" s="16" t="s">
        <v>43</v>
      </c>
      <c r="F33" s="17" t="n">
        <v>1704.47</v>
      </c>
    </row>
    <row r="34" customFormat="false" ht="15" hidden="false" customHeight="false" outlineLevel="0" collapsed="false">
      <c r="A34" s="10" t="n">
        <v>46131</v>
      </c>
      <c r="B34" s="11" t="s">
        <v>70</v>
      </c>
      <c r="C34" s="12" t="s">
        <v>41</v>
      </c>
      <c r="D34" s="12" t="s">
        <v>42</v>
      </c>
      <c r="E34" s="12" t="s">
        <v>43</v>
      </c>
      <c r="F34" s="13" t="n">
        <v>1693.99</v>
      </c>
    </row>
    <row r="35" customFormat="false" ht="15" hidden="false" customHeight="false" outlineLevel="0" collapsed="false">
      <c r="A35" s="14" t="n">
        <v>46125</v>
      </c>
      <c r="B35" s="15" t="s">
        <v>70</v>
      </c>
      <c r="C35" s="16" t="s">
        <v>41</v>
      </c>
      <c r="D35" s="16" t="s">
        <v>44</v>
      </c>
      <c r="E35" s="16" t="s">
        <v>45</v>
      </c>
      <c r="F35" s="17" t="n">
        <v>196.03</v>
      </c>
    </row>
    <row r="36" customFormat="false" ht="15" hidden="false" customHeight="false" outlineLevel="0" collapsed="false">
      <c r="A36" s="10" t="n">
        <v>46127</v>
      </c>
      <c r="B36" s="11" t="s">
        <v>70</v>
      </c>
      <c r="C36" s="12" t="s">
        <v>46</v>
      </c>
      <c r="D36" s="12" t="s">
        <v>47</v>
      </c>
      <c r="E36" s="12" t="s">
        <v>48</v>
      </c>
      <c r="F36" s="13" t="n">
        <v>1150</v>
      </c>
    </row>
    <row r="37" customFormat="false" ht="15" hidden="false" customHeight="false" outlineLevel="0" collapsed="false">
      <c r="A37" s="14" t="n">
        <v>46124</v>
      </c>
      <c r="B37" s="15" t="s">
        <v>70</v>
      </c>
      <c r="C37" s="16" t="s">
        <v>46</v>
      </c>
      <c r="D37" s="16" t="s">
        <v>49</v>
      </c>
      <c r="E37" s="16" t="s">
        <v>50</v>
      </c>
      <c r="F37" s="17" t="n">
        <v>313.01</v>
      </c>
    </row>
    <row r="38" customFormat="false" ht="15" hidden="false" customHeight="false" outlineLevel="0" collapsed="false">
      <c r="A38" s="10" t="n">
        <v>46124</v>
      </c>
      <c r="B38" s="11" t="s">
        <v>70</v>
      </c>
      <c r="C38" s="12" t="s">
        <v>46</v>
      </c>
      <c r="D38" s="12" t="s">
        <v>51</v>
      </c>
      <c r="E38" s="12" t="s">
        <v>52</v>
      </c>
      <c r="F38" s="13" t="n">
        <v>92.33</v>
      </c>
    </row>
    <row r="39" customFormat="false" ht="15" hidden="false" customHeight="false" outlineLevel="0" collapsed="false">
      <c r="A39" s="14" t="n">
        <v>46121</v>
      </c>
      <c r="B39" s="15" t="s">
        <v>70</v>
      </c>
      <c r="C39" s="16" t="s">
        <v>46</v>
      </c>
      <c r="D39" s="16" t="s">
        <v>53</v>
      </c>
      <c r="E39" s="16" t="s">
        <v>54</v>
      </c>
      <c r="F39" s="17" t="n">
        <v>154.56</v>
      </c>
    </row>
    <row r="40" customFormat="false" ht="15" hidden="false" customHeight="false" outlineLevel="0" collapsed="false">
      <c r="A40" s="10" t="n">
        <v>46134</v>
      </c>
      <c r="B40" s="11" t="s">
        <v>70</v>
      </c>
      <c r="C40" s="12" t="s">
        <v>46</v>
      </c>
      <c r="D40" s="12" t="s">
        <v>55</v>
      </c>
      <c r="E40" s="12" t="s">
        <v>56</v>
      </c>
      <c r="F40" s="13" t="n">
        <v>58.24</v>
      </c>
    </row>
    <row r="41" customFormat="false" ht="15" hidden="false" customHeight="false" outlineLevel="0" collapsed="false">
      <c r="A41" s="14" t="n">
        <v>46132</v>
      </c>
      <c r="B41" s="15" t="s">
        <v>70</v>
      </c>
      <c r="C41" s="16" t="s">
        <v>46</v>
      </c>
      <c r="D41" s="16" t="s">
        <v>57</v>
      </c>
      <c r="E41" s="16" t="s">
        <v>58</v>
      </c>
      <c r="F41" s="17" t="n">
        <v>35.08</v>
      </c>
    </row>
    <row r="42" customFormat="false" ht="15" hidden="false" customHeight="false" outlineLevel="0" collapsed="false">
      <c r="A42" s="10" t="n">
        <v>46130</v>
      </c>
      <c r="B42" s="11" t="s">
        <v>70</v>
      </c>
      <c r="C42" s="12" t="s">
        <v>46</v>
      </c>
      <c r="D42" s="12" t="s">
        <v>59</v>
      </c>
      <c r="E42" s="12" t="s">
        <v>60</v>
      </c>
      <c r="F42" s="13" t="n">
        <v>153.33</v>
      </c>
    </row>
    <row r="43" customFormat="false" ht="15" hidden="false" customHeight="false" outlineLevel="0" collapsed="false">
      <c r="A43" s="14" t="n">
        <v>46118</v>
      </c>
      <c r="B43" s="15" t="s">
        <v>70</v>
      </c>
      <c r="C43" s="16" t="s">
        <v>46</v>
      </c>
      <c r="D43" s="16" t="s">
        <v>61</v>
      </c>
      <c r="E43" s="16" t="s">
        <v>62</v>
      </c>
      <c r="F43" s="17" t="n">
        <v>65.8</v>
      </c>
    </row>
    <row r="44" customFormat="false" ht="15" hidden="false" customHeight="false" outlineLevel="0" collapsed="false">
      <c r="A44" s="10" t="n">
        <v>46121</v>
      </c>
      <c r="B44" s="11" t="s">
        <v>70</v>
      </c>
      <c r="C44" s="12" t="s">
        <v>46</v>
      </c>
      <c r="D44" s="12" t="s">
        <v>63</v>
      </c>
      <c r="E44" s="12" t="s">
        <v>64</v>
      </c>
      <c r="F44" s="13" t="n">
        <v>109.42</v>
      </c>
    </row>
    <row r="45" customFormat="false" ht="15" hidden="false" customHeight="false" outlineLevel="0" collapsed="false">
      <c r="A45" s="14" t="n">
        <v>46133</v>
      </c>
      <c r="B45" s="15" t="s">
        <v>70</v>
      </c>
      <c r="C45" s="16" t="s">
        <v>46</v>
      </c>
      <c r="D45" s="16" t="s">
        <v>65</v>
      </c>
      <c r="E45" s="16" t="s">
        <v>66</v>
      </c>
      <c r="F45" s="17" t="n">
        <v>418.82</v>
      </c>
    </row>
    <row r="46" customFormat="false" ht="15" hidden="false" customHeight="false" outlineLevel="0" collapsed="false">
      <c r="A46" s="10" t="n">
        <v>46120</v>
      </c>
      <c r="B46" s="11" t="s">
        <v>70</v>
      </c>
      <c r="C46" s="12" t="s">
        <v>46</v>
      </c>
      <c r="D46" s="12" t="s">
        <v>67</v>
      </c>
      <c r="E46" s="12" t="s">
        <v>68</v>
      </c>
      <c r="F46" s="13" t="n">
        <v>108.46</v>
      </c>
    </row>
    <row r="47" customFormat="false" ht="15" hidden="false" customHeight="false" outlineLevel="0" collapsed="false">
      <c r="A47" s="14" t="n">
        <v>46147</v>
      </c>
      <c r="B47" s="15" t="s">
        <v>71</v>
      </c>
      <c r="C47" s="16" t="s">
        <v>41</v>
      </c>
      <c r="D47" s="16" t="s">
        <v>42</v>
      </c>
      <c r="E47" s="16" t="s">
        <v>43</v>
      </c>
      <c r="F47" s="17" t="n">
        <v>1732.14</v>
      </c>
    </row>
    <row r="48" customFormat="false" ht="15" hidden="false" customHeight="false" outlineLevel="0" collapsed="false">
      <c r="A48" s="10" t="n">
        <v>46161</v>
      </c>
      <c r="B48" s="11" t="s">
        <v>71</v>
      </c>
      <c r="C48" s="12" t="s">
        <v>41</v>
      </c>
      <c r="D48" s="12" t="s">
        <v>42</v>
      </c>
      <c r="E48" s="12" t="s">
        <v>43</v>
      </c>
      <c r="F48" s="13" t="n">
        <v>1728.8</v>
      </c>
    </row>
    <row r="49" customFormat="false" ht="15" hidden="false" customHeight="false" outlineLevel="0" collapsed="false">
      <c r="A49" s="14" t="n">
        <v>46153</v>
      </c>
      <c r="B49" s="15" t="s">
        <v>71</v>
      </c>
      <c r="C49" s="16" t="s">
        <v>41</v>
      </c>
      <c r="D49" s="16" t="s">
        <v>44</v>
      </c>
      <c r="E49" s="16" t="s">
        <v>45</v>
      </c>
      <c r="F49" s="17" t="n">
        <v>281.01</v>
      </c>
    </row>
    <row r="50" customFormat="false" ht="15" hidden="false" customHeight="false" outlineLevel="0" collapsed="false">
      <c r="A50" s="10" t="n">
        <v>46155</v>
      </c>
      <c r="B50" s="11" t="s">
        <v>71</v>
      </c>
      <c r="C50" s="12" t="s">
        <v>46</v>
      </c>
      <c r="D50" s="12" t="s">
        <v>47</v>
      </c>
      <c r="E50" s="12" t="s">
        <v>48</v>
      </c>
      <c r="F50" s="13" t="n">
        <v>1150</v>
      </c>
    </row>
    <row r="51" customFormat="false" ht="15" hidden="false" customHeight="false" outlineLevel="0" collapsed="false">
      <c r="A51" s="14" t="n">
        <v>46149</v>
      </c>
      <c r="B51" s="15" t="s">
        <v>71</v>
      </c>
      <c r="C51" s="16" t="s">
        <v>46</v>
      </c>
      <c r="D51" s="16" t="s">
        <v>49</v>
      </c>
      <c r="E51" s="16" t="s">
        <v>50</v>
      </c>
      <c r="F51" s="17" t="n">
        <v>373.05</v>
      </c>
    </row>
    <row r="52" customFormat="false" ht="15" hidden="false" customHeight="false" outlineLevel="0" collapsed="false">
      <c r="A52" s="10" t="n">
        <v>46161</v>
      </c>
      <c r="B52" s="11" t="s">
        <v>71</v>
      </c>
      <c r="C52" s="12" t="s">
        <v>46</v>
      </c>
      <c r="D52" s="12" t="s">
        <v>51</v>
      </c>
      <c r="E52" s="12" t="s">
        <v>52</v>
      </c>
      <c r="F52" s="13" t="n">
        <v>115.67</v>
      </c>
    </row>
    <row r="53" customFormat="false" ht="15" hidden="false" customHeight="false" outlineLevel="0" collapsed="false">
      <c r="A53" s="14" t="n">
        <v>46153</v>
      </c>
      <c r="B53" s="15" t="s">
        <v>71</v>
      </c>
      <c r="C53" s="16" t="s">
        <v>46</v>
      </c>
      <c r="D53" s="16" t="s">
        <v>53</v>
      </c>
      <c r="E53" s="16" t="s">
        <v>54</v>
      </c>
      <c r="F53" s="17" t="n">
        <v>137.44</v>
      </c>
    </row>
    <row r="54" customFormat="false" ht="15" hidden="false" customHeight="false" outlineLevel="0" collapsed="false">
      <c r="A54" s="10" t="n">
        <v>46158</v>
      </c>
      <c r="B54" s="11" t="s">
        <v>71</v>
      </c>
      <c r="C54" s="12" t="s">
        <v>46</v>
      </c>
      <c r="D54" s="12" t="s">
        <v>55</v>
      </c>
      <c r="E54" s="12" t="s">
        <v>56</v>
      </c>
      <c r="F54" s="13" t="n">
        <v>56.98</v>
      </c>
    </row>
    <row r="55" customFormat="false" ht="15" hidden="false" customHeight="false" outlineLevel="0" collapsed="false">
      <c r="A55" s="14" t="n">
        <v>46163</v>
      </c>
      <c r="B55" s="15" t="s">
        <v>71</v>
      </c>
      <c r="C55" s="16" t="s">
        <v>46</v>
      </c>
      <c r="D55" s="16" t="s">
        <v>57</v>
      </c>
      <c r="E55" s="16" t="s">
        <v>58</v>
      </c>
      <c r="F55" s="17" t="n">
        <v>33.67</v>
      </c>
    </row>
    <row r="56" customFormat="false" ht="15" hidden="false" customHeight="false" outlineLevel="0" collapsed="false">
      <c r="A56" s="10" t="n">
        <v>46151</v>
      </c>
      <c r="B56" s="11" t="s">
        <v>71</v>
      </c>
      <c r="C56" s="12" t="s">
        <v>46</v>
      </c>
      <c r="D56" s="12" t="s">
        <v>59</v>
      </c>
      <c r="E56" s="12" t="s">
        <v>60</v>
      </c>
      <c r="F56" s="13" t="n">
        <v>106.17</v>
      </c>
    </row>
    <row r="57" customFormat="false" ht="15" hidden="false" customHeight="false" outlineLevel="0" collapsed="false">
      <c r="A57" s="14" t="n">
        <v>46166</v>
      </c>
      <c r="B57" s="15" t="s">
        <v>71</v>
      </c>
      <c r="C57" s="16" t="s">
        <v>46</v>
      </c>
      <c r="D57" s="16" t="s">
        <v>61</v>
      </c>
      <c r="E57" s="16" t="s">
        <v>62</v>
      </c>
      <c r="F57" s="17" t="n">
        <v>70.26</v>
      </c>
    </row>
    <row r="58" customFormat="false" ht="15" hidden="false" customHeight="false" outlineLevel="0" collapsed="false">
      <c r="A58" s="10" t="n">
        <v>46151</v>
      </c>
      <c r="B58" s="11" t="s">
        <v>71</v>
      </c>
      <c r="C58" s="12" t="s">
        <v>46</v>
      </c>
      <c r="D58" s="12" t="s">
        <v>63</v>
      </c>
      <c r="E58" s="12" t="s">
        <v>64</v>
      </c>
      <c r="F58" s="13" t="n">
        <v>96.09</v>
      </c>
    </row>
    <row r="59" customFormat="false" ht="15" hidden="false" customHeight="false" outlineLevel="0" collapsed="false">
      <c r="A59" s="14" t="n">
        <v>46156</v>
      </c>
      <c r="B59" s="15" t="s">
        <v>71</v>
      </c>
      <c r="C59" s="16" t="s">
        <v>46</v>
      </c>
      <c r="D59" s="16" t="s">
        <v>65</v>
      </c>
      <c r="E59" s="16" t="s">
        <v>66</v>
      </c>
      <c r="F59" s="17" t="n">
        <v>439.78</v>
      </c>
    </row>
    <row r="60" customFormat="false" ht="15" hidden="false" customHeight="false" outlineLevel="0" collapsed="false">
      <c r="A60" s="10" t="n">
        <v>46155</v>
      </c>
      <c r="B60" s="11" t="s">
        <v>71</v>
      </c>
      <c r="C60" s="12" t="s">
        <v>46</v>
      </c>
      <c r="D60" s="12" t="s">
        <v>67</v>
      </c>
      <c r="E60" s="12" t="s">
        <v>68</v>
      </c>
      <c r="F60" s="13" t="n">
        <v>76.2</v>
      </c>
    </row>
    <row r="61" customFormat="false" ht="15" hidden="false" customHeight="false" outlineLevel="0" collapsed="false">
      <c r="A61" s="14" t="n">
        <v>46178</v>
      </c>
      <c r="B61" s="15" t="s">
        <v>72</v>
      </c>
      <c r="C61" s="16" t="s">
        <v>41</v>
      </c>
      <c r="D61" s="16" t="s">
        <v>42</v>
      </c>
      <c r="E61" s="16" t="s">
        <v>43</v>
      </c>
      <c r="F61" s="17" t="n">
        <v>1739.87</v>
      </c>
    </row>
    <row r="62" customFormat="false" ht="15" hidden="false" customHeight="false" outlineLevel="0" collapsed="false">
      <c r="A62" s="10" t="n">
        <v>46192</v>
      </c>
      <c r="B62" s="11" t="s">
        <v>72</v>
      </c>
      <c r="C62" s="12" t="s">
        <v>41</v>
      </c>
      <c r="D62" s="12" t="s">
        <v>42</v>
      </c>
      <c r="E62" s="12" t="s">
        <v>43</v>
      </c>
      <c r="F62" s="13" t="n">
        <v>1696.92</v>
      </c>
    </row>
    <row r="63" customFormat="false" ht="15" hidden="false" customHeight="false" outlineLevel="0" collapsed="false">
      <c r="A63" s="14" t="n">
        <v>46184</v>
      </c>
      <c r="B63" s="15" t="s">
        <v>72</v>
      </c>
      <c r="C63" s="16" t="s">
        <v>41</v>
      </c>
      <c r="D63" s="16" t="s">
        <v>44</v>
      </c>
      <c r="E63" s="16" t="s">
        <v>45</v>
      </c>
      <c r="F63" s="17" t="n">
        <v>292.22</v>
      </c>
    </row>
    <row r="64" customFormat="false" ht="15" hidden="false" customHeight="false" outlineLevel="0" collapsed="false">
      <c r="A64" s="10" t="n">
        <v>46178</v>
      </c>
      <c r="B64" s="11" t="s">
        <v>72</v>
      </c>
      <c r="C64" s="12" t="s">
        <v>46</v>
      </c>
      <c r="D64" s="12" t="s">
        <v>47</v>
      </c>
      <c r="E64" s="12" t="s">
        <v>48</v>
      </c>
      <c r="F64" s="13" t="n">
        <v>1150</v>
      </c>
    </row>
    <row r="65" customFormat="false" ht="15" hidden="false" customHeight="false" outlineLevel="0" collapsed="false">
      <c r="A65" s="14" t="n">
        <v>46199</v>
      </c>
      <c r="B65" s="15" t="s">
        <v>72</v>
      </c>
      <c r="C65" s="16" t="s">
        <v>46</v>
      </c>
      <c r="D65" s="16" t="s">
        <v>49</v>
      </c>
      <c r="E65" s="16" t="s">
        <v>50</v>
      </c>
      <c r="F65" s="17" t="n">
        <v>354.44</v>
      </c>
    </row>
    <row r="66" customFormat="false" ht="15" hidden="false" customHeight="false" outlineLevel="0" collapsed="false">
      <c r="A66" s="10" t="n">
        <v>46193</v>
      </c>
      <c r="B66" s="11" t="s">
        <v>72</v>
      </c>
      <c r="C66" s="12" t="s">
        <v>46</v>
      </c>
      <c r="D66" s="12" t="s">
        <v>51</v>
      </c>
      <c r="E66" s="12" t="s">
        <v>52</v>
      </c>
      <c r="F66" s="13" t="n">
        <v>87.22</v>
      </c>
    </row>
    <row r="67" customFormat="false" ht="15" hidden="false" customHeight="false" outlineLevel="0" collapsed="false">
      <c r="A67" s="14" t="n">
        <v>46186</v>
      </c>
      <c r="B67" s="15" t="s">
        <v>72</v>
      </c>
      <c r="C67" s="16" t="s">
        <v>46</v>
      </c>
      <c r="D67" s="16" t="s">
        <v>53</v>
      </c>
      <c r="E67" s="16" t="s">
        <v>54</v>
      </c>
      <c r="F67" s="17" t="n">
        <v>150.86</v>
      </c>
    </row>
    <row r="68" customFormat="false" ht="15" hidden="false" customHeight="false" outlineLevel="0" collapsed="false">
      <c r="A68" s="10" t="n">
        <v>46188</v>
      </c>
      <c r="B68" s="11" t="s">
        <v>72</v>
      </c>
      <c r="C68" s="12" t="s">
        <v>46</v>
      </c>
      <c r="D68" s="12" t="s">
        <v>55</v>
      </c>
      <c r="E68" s="12" t="s">
        <v>56</v>
      </c>
      <c r="F68" s="13" t="n">
        <v>57.65</v>
      </c>
    </row>
    <row r="69" customFormat="false" ht="15" hidden="false" customHeight="false" outlineLevel="0" collapsed="false">
      <c r="A69" s="14" t="n">
        <v>46191</v>
      </c>
      <c r="B69" s="15" t="s">
        <v>72</v>
      </c>
      <c r="C69" s="16" t="s">
        <v>46</v>
      </c>
      <c r="D69" s="16" t="s">
        <v>57</v>
      </c>
      <c r="E69" s="16" t="s">
        <v>58</v>
      </c>
      <c r="F69" s="17" t="n">
        <v>36.89</v>
      </c>
    </row>
    <row r="70" customFormat="false" ht="15" hidden="false" customHeight="false" outlineLevel="0" collapsed="false">
      <c r="A70" s="10" t="n">
        <v>46174</v>
      </c>
      <c r="B70" s="11" t="s">
        <v>72</v>
      </c>
      <c r="C70" s="12" t="s">
        <v>46</v>
      </c>
      <c r="D70" s="12" t="s">
        <v>59</v>
      </c>
      <c r="E70" s="12" t="s">
        <v>60</v>
      </c>
      <c r="F70" s="13" t="n">
        <v>149.42</v>
      </c>
    </row>
    <row r="71" customFormat="false" ht="15" hidden="false" customHeight="false" outlineLevel="0" collapsed="false">
      <c r="A71" s="14" t="n">
        <v>46177</v>
      </c>
      <c r="B71" s="15" t="s">
        <v>72</v>
      </c>
      <c r="C71" s="16" t="s">
        <v>46</v>
      </c>
      <c r="D71" s="16" t="s">
        <v>61</v>
      </c>
      <c r="E71" s="16" t="s">
        <v>62</v>
      </c>
      <c r="F71" s="17" t="n">
        <v>75.68</v>
      </c>
    </row>
    <row r="72" customFormat="false" ht="15" hidden="false" customHeight="false" outlineLevel="0" collapsed="false">
      <c r="A72" s="10" t="n">
        <v>46191</v>
      </c>
      <c r="B72" s="11" t="s">
        <v>72</v>
      </c>
      <c r="C72" s="12" t="s">
        <v>46</v>
      </c>
      <c r="D72" s="12" t="s">
        <v>63</v>
      </c>
      <c r="E72" s="12" t="s">
        <v>64</v>
      </c>
      <c r="F72" s="13" t="n">
        <v>96.3</v>
      </c>
    </row>
    <row r="73" customFormat="false" ht="15" hidden="false" customHeight="false" outlineLevel="0" collapsed="false">
      <c r="A73" s="14" t="n">
        <v>46198</v>
      </c>
      <c r="B73" s="15" t="s">
        <v>72</v>
      </c>
      <c r="C73" s="16" t="s">
        <v>46</v>
      </c>
      <c r="D73" s="16" t="s">
        <v>65</v>
      </c>
      <c r="E73" s="16" t="s">
        <v>66</v>
      </c>
      <c r="F73" s="17" t="n">
        <v>414.1</v>
      </c>
    </row>
    <row r="74" customFormat="false" ht="15" hidden="false" customHeight="false" outlineLevel="0" collapsed="false">
      <c r="A74" s="10" t="n">
        <v>46177</v>
      </c>
      <c r="B74" s="11" t="s">
        <v>72</v>
      </c>
      <c r="C74" s="12" t="s">
        <v>46</v>
      </c>
      <c r="D74" s="12" t="s">
        <v>67</v>
      </c>
      <c r="E74" s="12" t="s">
        <v>68</v>
      </c>
      <c r="F74" s="13" t="n">
        <v>69.35</v>
      </c>
    </row>
    <row r="75" customFormat="false" ht="15" hidden="false" customHeight="false" outlineLevel="0" collapsed="false">
      <c r="A75" s="14" t="n">
        <v>46208</v>
      </c>
      <c r="B75" s="15" t="s">
        <v>73</v>
      </c>
      <c r="C75" s="16" t="s">
        <v>41</v>
      </c>
      <c r="D75" s="16" t="s">
        <v>42</v>
      </c>
      <c r="E75" s="16" t="s">
        <v>43</v>
      </c>
      <c r="F75" s="17" t="n">
        <v>1697.91</v>
      </c>
    </row>
    <row r="76" customFormat="false" ht="15" hidden="false" customHeight="false" outlineLevel="0" collapsed="false">
      <c r="A76" s="10" t="n">
        <v>46222</v>
      </c>
      <c r="B76" s="11" t="s">
        <v>73</v>
      </c>
      <c r="C76" s="12" t="s">
        <v>41</v>
      </c>
      <c r="D76" s="12" t="s">
        <v>42</v>
      </c>
      <c r="E76" s="12" t="s">
        <v>43</v>
      </c>
      <c r="F76" s="13" t="n">
        <v>1690.16</v>
      </c>
    </row>
    <row r="77" customFormat="false" ht="15" hidden="false" customHeight="false" outlineLevel="0" collapsed="false">
      <c r="A77" s="14" t="n">
        <v>46227</v>
      </c>
      <c r="B77" s="15" t="s">
        <v>73</v>
      </c>
      <c r="C77" s="16" t="s">
        <v>46</v>
      </c>
      <c r="D77" s="16" t="s">
        <v>47</v>
      </c>
      <c r="E77" s="16" t="s">
        <v>48</v>
      </c>
      <c r="F77" s="17" t="n">
        <v>1150</v>
      </c>
    </row>
    <row r="78" customFormat="false" ht="15" hidden="false" customHeight="false" outlineLevel="0" collapsed="false">
      <c r="A78" s="10" t="n">
        <v>46220</v>
      </c>
      <c r="B78" s="11" t="s">
        <v>73</v>
      </c>
      <c r="C78" s="12" t="s">
        <v>46</v>
      </c>
      <c r="D78" s="12" t="s">
        <v>49</v>
      </c>
      <c r="E78" s="12" t="s">
        <v>50</v>
      </c>
      <c r="F78" s="13" t="n">
        <v>360.96</v>
      </c>
    </row>
    <row r="79" customFormat="false" ht="15" hidden="false" customHeight="false" outlineLevel="0" collapsed="false">
      <c r="A79" s="14" t="n">
        <v>46220</v>
      </c>
      <c r="B79" s="15" t="s">
        <v>73</v>
      </c>
      <c r="C79" s="16" t="s">
        <v>46</v>
      </c>
      <c r="D79" s="16" t="s">
        <v>51</v>
      </c>
      <c r="E79" s="16" t="s">
        <v>52</v>
      </c>
      <c r="F79" s="17" t="n">
        <v>116.94</v>
      </c>
    </row>
    <row r="80" customFormat="false" ht="15" hidden="false" customHeight="false" outlineLevel="0" collapsed="false">
      <c r="A80" s="10" t="n">
        <v>46224</v>
      </c>
      <c r="B80" s="11" t="s">
        <v>73</v>
      </c>
      <c r="C80" s="12" t="s">
        <v>46</v>
      </c>
      <c r="D80" s="12" t="s">
        <v>53</v>
      </c>
      <c r="E80" s="12" t="s">
        <v>54</v>
      </c>
      <c r="F80" s="13" t="n">
        <v>140.45</v>
      </c>
    </row>
    <row r="81" customFormat="false" ht="15" hidden="false" customHeight="false" outlineLevel="0" collapsed="false">
      <c r="A81" s="14" t="n">
        <v>46224</v>
      </c>
      <c r="B81" s="15" t="s">
        <v>73</v>
      </c>
      <c r="C81" s="16" t="s">
        <v>46</v>
      </c>
      <c r="D81" s="16" t="s">
        <v>55</v>
      </c>
      <c r="E81" s="16" t="s">
        <v>56</v>
      </c>
      <c r="F81" s="17" t="n">
        <v>57.54</v>
      </c>
    </row>
    <row r="82" customFormat="false" ht="15" hidden="false" customHeight="false" outlineLevel="0" collapsed="false">
      <c r="A82" s="10" t="n">
        <v>46210</v>
      </c>
      <c r="B82" s="11" t="s">
        <v>73</v>
      </c>
      <c r="C82" s="12" t="s">
        <v>46</v>
      </c>
      <c r="D82" s="12" t="s">
        <v>57</v>
      </c>
      <c r="E82" s="12" t="s">
        <v>58</v>
      </c>
      <c r="F82" s="13" t="n">
        <v>31.22</v>
      </c>
    </row>
    <row r="83" customFormat="false" ht="15" hidden="false" customHeight="false" outlineLevel="0" collapsed="false">
      <c r="A83" s="14" t="n">
        <v>46228</v>
      </c>
      <c r="B83" s="15" t="s">
        <v>73</v>
      </c>
      <c r="C83" s="16" t="s">
        <v>46</v>
      </c>
      <c r="D83" s="16" t="s">
        <v>59</v>
      </c>
      <c r="E83" s="16" t="s">
        <v>60</v>
      </c>
      <c r="F83" s="17" t="n">
        <v>107.92</v>
      </c>
    </row>
    <row r="84" customFormat="false" ht="15" hidden="false" customHeight="false" outlineLevel="0" collapsed="false">
      <c r="A84" s="10" t="n">
        <v>46228</v>
      </c>
      <c r="B84" s="11" t="s">
        <v>73</v>
      </c>
      <c r="C84" s="12" t="s">
        <v>46</v>
      </c>
      <c r="D84" s="12" t="s">
        <v>61</v>
      </c>
      <c r="E84" s="12" t="s">
        <v>62</v>
      </c>
      <c r="F84" s="13" t="n">
        <v>86.51</v>
      </c>
    </row>
    <row r="85" customFormat="false" ht="15" hidden="false" customHeight="false" outlineLevel="0" collapsed="false">
      <c r="A85" s="14" t="n">
        <v>46204</v>
      </c>
      <c r="B85" s="15" t="s">
        <v>73</v>
      </c>
      <c r="C85" s="16" t="s">
        <v>46</v>
      </c>
      <c r="D85" s="16" t="s">
        <v>63</v>
      </c>
      <c r="E85" s="16" t="s">
        <v>64</v>
      </c>
      <c r="F85" s="17" t="n">
        <v>87.94</v>
      </c>
    </row>
    <row r="86" customFormat="false" ht="15" hidden="false" customHeight="false" outlineLevel="0" collapsed="false">
      <c r="A86" s="10" t="n">
        <v>46219</v>
      </c>
      <c r="B86" s="11" t="s">
        <v>73</v>
      </c>
      <c r="C86" s="12" t="s">
        <v>46</v>
      </c>
      <c r="D86" s="12" t="s">
        <v>65</v>
      </c>
      <c r="E86" s="12" t="s">
        <v>66</v>
      </c>
      <c r="F86" s="13" t="n">
        <v>351.95</v>
      </c>
    </row>
    <row r="87" customFormat="false" ht="15" hidden="false" customHeight="false" outlineLevel="0" collapsed="false">
      <c r="A87" s="14" t="n">
        <v>46215</v>
      </c>
      <c r="B87" s="15" t="s">
        <v>73</v>
      </c>
      <c r="C87" s="16" t="s">
        <v>46</v>
      </c>
      <c r="D87" s="16" t="s">
        <v>67</v>
      </c>
      <c r="E87" s="16" t="s">
        <v>68</v>
      </c>
      <c r="F87" s="17" t="n">
        <v>127.87</v>
      </c>
    </row>
  </sheetData>
  <mergeCells count="2">
    <mergeCell ref="A1: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11" min="3" style="0" width="12"/>
  </cols>
  <sheetData>
    <row r="1" customFormat="false" ht="25.5" hidden="false" customHeight="true" outlineLevel="0" collapsed="false">
      <c r="A1" s="1" t="s">
        <v>74</v>
      </c>
      <c r="B1" s="1"/>
      <c r="C1" s="1"/>
      <c r="D1" s="1"/>
      <c r="E1" s="1"/>
      <c r="F1" s="1"/>
      <c r="G1" s="1"/>
      <c r="H1" s="1"/>
      <c r="I1" s="1"/>
      <c r="J1" s="1"/>
    </row>
    <row r="2" customFormat="false" ht="7.5" hidden="false" customHeight="true" outlineLevel="0" collapsed="false">
      <c r="A2" s="1"/>
      <c r="B2" s="1"/>
      <c r="C2" s="1"/>
      <c r="D2" s="1"/>
      <c r="E2" s="1"/>
      <c r="F2" s="1"/>
      <c r="G2" s="1"/>
      <c r="H2" s="1"/>
      <c r="I2" s="1"/>
      <c r="J2" s="1"/>
    </row>
    <row r="3" customFormat="false" ht="15.75" hidden="false" customHeight="true" outlineLevel="0" collapsed="false">
      <c r="A3" s="2" t="s">
        <v>75</v>
      </c>
      <c r="B3" s="2"/>
      <c r="C3" s="2"/>
      <c r="D3" s="2"/>
      <c r="E3" s="2"/>
      <c r="F3" s="2"/>
      <c r="G3" s="2"/>
      <c r="H3" s="2"/>
      <c r="I3" s="2"/>
      <c r="J3" s="2"/>
    </row>
    <row r="5" customFormat="false" ht="21.75" hidden="false" customHeight="true" outlineLevel="0" collapsed="false">
      <c r="A5" s="9" t="s">
        <v>37</v>
      </c>
      <c r="B5" s="9" t="s">
        <v>76</v>
      </c>
      <c r="C5" s="9" t="s">
        <v>77</v>
      </c>
      <c r="D5" s="9" t="s">
        <v>78</v>
      </c>
      <c r="E5" s="9" t="s">
        <v>79</v>
      </c>
      <c r="F5" s="9" t="s">
        <v>80</v>
      </c>
      <c r="G5" s="9" t="s">
        <v>81</v>
      </c>
      <c r="H5" s="9" t="s">
        <v>82</v>
      </c>
      <c r="I5" s="9" t="s">
        <v>83</v>
      </c>
      <c r="J5" s="9" t="s">
        <v>84</v>
      </c>
      <c r="K5" s="9" t="s">
        <v>85</v>
      </c>
    </row>
    <row r="6" customFormat="false" ht="15" hidden="false" customHeight="false" outlineLevel="0" collapsed="false">
      <c r="A6" s="11" t="s">
        <v>47</v>
      </c>
      <c r="B6" s="18" t="n">
        <v>1150</v>
      </c>
      <c r="C6" s="19" t="n">
        <f aca="false">SUMIFS(Transactions!$F$6:$F$87,Transactions!$D$6:$D$87,$A6,Transactions!$B$6:$B$87,"Feb 2026")</f>
        <v>1150</v>
      </c>
      <c r="D6" s="19" t="n">
        <f aca="false">SUMIFS(Transactions!$F$6:$F$87,Transactions!$D$6:$D$87,$A6,Transactions!$B$6:$B$87,"Mar 2026")</f>
        <v>1150</v>
      </c>
      <c r="E6" s="19" t="n">
        <f aca="false">SUMIFS(Transactions!$F$6:$F$87,Transactions!$D$6:$D$87,$A6,Transactions!$B$6:$B$87,"Apr 2026")</f>
        <v>1150</v>
      </c>
      <c r="F6" s="19" t="n">
        <f aca="false">SUMIFS(Transactions!$F$6:$F$87,Transactions!$D$6:$D$87,$A6,Transactions!$B$6:$B$87,"May 2026")</f>
        <v>1150</v>
      </c>
      <c r="G6" s="19" t="n">
        <f aca="false">SUMIFS(Transactions!$F$6:$F$87,Transactions!$D$6:$D$87,$A6,Transactions!$B$6:$B$87,"Jun 2026")</f>
        <v>1150</v>
      </c>
      <c r="H6" s="19" t="n">
        <f aca="false">SUMIFS(Transactions!$F$6:$F$87,Transactions!$D$6:$D$87,$A6,Transactions!$B$6:$B$87,"Jul 2026")</f>
        <v>1150</v>
      </c>
      <c r="I6" s="19" t="n">
        <f aca="false">AVERAGE(C6:H6)</f>
        <v>1150</v>
      </c>
      <c r="J6" s="19" t="n">
        <f aca="false">I6-B6</f>
        <v>0</v>
      </c>
      <c r="K6" s="20" t="n">
        <f aca="false">IFERROR(J6/B6,0)</f>
        <v>0</v>
      </c>
    </row>
    <row r="7" customFormat="false" ht="15" hidden="false" customHeight="false" outlineLevel="0" collapsed="false">
      <c r="A7" s="15" t="s">
        <v>49</v>
      </c>
      <c r="B7" s="21" t="n">
        <v>360</v>
      </c>
      <c r="C7" s="22" t="n">
        <f aca="false">SUMIFS(Transactions!$F$6:$F$87,Transactions!$D$6:$D$87,$A7,Transactions!$B$6:$B$87,"Feb 2026")</f>
        <v>306.96</v>
      </c>
      <c r="D7" s="22" t="n">
        <f aca="false">SUMIFS(Transactions!$F$6:$F$87,Transactions!$D$6:$D$87,$A7,Transactions!$B$6:$B$87,"Mar 2026")</f>
        <v>307.74</v>
      </c>
      <c r="E7" s="22" t="n">
        <f aca="false">SUMIFS(Transactions!$F$6:$F$87,Transactions!$D$6:$D$87,$A7,Transactions!$B$6:$B$87,"Apr 2026")</f>
        <v>313.01</v>
      </c>
      <c r="F7" s="22" t="n">
        <f aca="false">SUMIFS(Transactions!$F$6:$F$87,Transactions!$D$6:$D$87,$A7,Transactions!$B$6:$B$87,"May 2026")</f>
        <v>373.05</v>
      </c>
      <c r="G7" s="22" t="n">
        <f aca="false">SUMIFS(Transactions!$F$6:$F$87,Transactions!$D$6:$D$87,$A7,Transactions!$B$6:$B$87,"Jun 2026")</f>
        <v>354.44</v>
      </c>
      <c r="H7" s="22" t="n">
        <f aca="false">SUMIFS(Transactions!$F$6:$F$87,Transactions!$D$6:$D$87,$A7,Transactions!$B$6:$B$87,"Jul 2026")</f>
        <v>360.96</v>
      </c>
      <c r="I7" s="22" t="n">
        <f aca="false">AVERAGE(C7:H7)</f>
        <v>336.026666666667</v>
      </c>
      <c r="J7" s="22" t="n">
        <f aca="false">I7-B7</f>
        <v>-23.9733333333334</v>
      </c>
      <c r="K7" s="23" t="n">
        <f aca="false">IFERROR(J7/B7,0)</f>
        <v>-0.0665925925925927</v>
      </c>
    </row>
    <row r="8" customFormat="false" ht="15" hidden="false" customHeight="false" outlineLevel="0" collapsed="false">
      <c r="A8" s="11" t="s">
        <v>51</v>
      </c>
      <c r="B8" s="18" t="n">
        <v>110</v>
      </c>
      <c r="C8" s="19" t="n">
        <f aca="false">SUMIFS(Transactions!$F$6:$F$87,Transactions!$D$6:$D$87,$A8,Transactions!$B$6:$B$87,"Feb 2026")</f>
        <v>86.11</v>
      </c>
      <c r="D8" s="19" t="n">
        <f aca="false">SUMIFS(Transactions!$F$6:$F$87,Transactions!$D$6:$D$87,$A8,Transactions!$B$6:$B$87,"Mar 2026")</f>
        <v>106.13</v>
      </c>
      <c r="E8" s="19" t="n">
        <f aca="false">SUMIFS(Transactions!$F$6:$F$87,Transactions!$D$6:$D$87,$A8,Transactions!$B$6:$B$87,"Apr 2026")</f>
        <v>92.33</v>
      </c>
      <c r="F8" s="19" t="n">
        <f aca="false">SUMIFS(Transactions!$F$6:$F$87,Transactions!$D$6:$D$87,$A8,Transactions!$B$6:$B$87,"May 2026")</f>
        <v>115.67</v>
      </c>
      <c r="G8" s="19" t="n">
        <f aca="false">SUMIFS(Transactions!$F$6:$F$87,Transactions!$D$6:$D$87,$A8,Transactions!$B$6:$B$87,"Jun 2026")</f>
        <v>87.22</v>
      </c>
      <c r="H8" s="19" t="n">
        <f aca="false">SUMIFS(Transactions!$F$6:$F$87,Transactions!$D$6:$D$87,$A8,Transactions!$B$6:$B$87,"Jul 2026")</f>
        <v>116.94</v>
      </c>
      <c r="I8" s="19" t="n">
        <f aca="false">AVERAGE(C8:H8)</f>
        <v>100.733333333333</v>
      </c>
      <c r="J8" s="19" t="n">
        <f aca="false">I8-B8</f>
        <v>-9.26666666666667</v>
      </c>
      <c r="K8" s="20" t="n">
        <f aca="false">IFERROR(J8/B8,0)</f>
        <v>-0.0842424242424242</v>
      </c>
    </row>
    <row r="9" customFormat="false" ht="15" hidden="false" customHeight="false" outlineLevel="0" collapsed="false">
      <c r="A9" s="15" t="s">
        <v>53</v>
      </c>
      <c r="B9" s="21" t="n">
        <v>150</v>
      </c>
      <c r="C9" s="22" t="n">
        <f aca="false">SUMIFS(Transactions!$F$6:$F$87,Transactions!$D$6:$D$87,$A9,Transactions!$B$6:$B$87,"Feb 2026")</f>
        <v>137.65</v>
      </c>
      <c r="D9" s="22" t="n">
        <f aca="false">SUMIFS(Transactions!$F$6:$F$87,Transactions!$D$6:$D$87,$A9,Transactions!$B$6:$B$87,"Mar 2026")</f>
        <v>131.52</v>
      </c>
      <c r="E9" s="22" t="n">
        <f aca="false">SUMIFS(Transactions!$F$6:$F$87,Transactions!$D$6:$D$87,$A9,Transactions!$B$6:$B$87,"Apr 2026")</f>
        <v>154.56</v>
      </c>
      <c r="F9" s="22" t="n">
        <f aca="false">SUMIFS(Transactions!$F$6:$F$87,Transactions!$D$6:$D$87,$A9,Transactions!$B$6:$B$87,"May 2026")</f>
        <v>137.44</v>
      </c>
      <c r="G9" s="22" t="n">
        <f aca="false">SUMIFS(Transactions!$F$6:$F$87,Transactions!$D$6:$D$87,$A9,Transactions!$B$6:$B$87,"Jun 2026")</f>
        <v>150.86</v>
      </c>
      <c r="H9" s="22" t="n">
        <f aca="false">SUMIFS(Transactions!$F$6:$F$87,Transactions!$D$6:$D$87,$A9,Transactions!$B$6:$B$87,"Jul 2026")</f>
        <v>140.45</v>
      </c>
      <c r="I9" s="22" t="n">
        <f aca="false">AVERAGE(C9:H9)</f>
        <v>142.08</v>
      </c>
      <c r="J9" s="22" t="n">
        <f aca="false">I9-B9</f>
        <v>-7.91999999999999</v>
      </c>
      <c r="K9" s="23" t="n">
        <f aca="false">IFERROR(J9/B9,0)</f>
        <v>-0.0527999999999999</v>
      </c>
    </row>
    <row r="10" customFormat="false" ht="15" hidden="false" customHeight="false" outlineLevel="0" collapsed="false">
      <c r="A10" s="11" t="s">
        <v>55</v>
      </c>
      <c r="B10" s="18" t="n">
        <v>60</v>
      </c>
      <c r="C10" s="19" t="n">
        <f aca="false">SUMIFS(Transactions!$F$6:$F$87,Transactions!$D$6:$D$87,$A10,Transactions!$B$6:$B$87,"Feb 2026")</f>
        <v>58.01</v>
      </c>
      <c r="D10" s="19" t="n">
        <f aca="false">SUMIFS(Transactions!$F$6:$F$87,Transactions!$D$6:$D$87,$A10,Transactions!$B$6:$B$87,"Mar 2026")</f>
        <v>57.68</v>
      </c>
      <c r="E10" s="19" t="n">
        <f aca="false">SUMIFS(Transactions!$F$6:$F$87,Transactions!$D$6:$D$87,$A10,Transactions!$B$6:$B$87,"Apr 2026")</f>
        <v>58.24</v>
      </c>
      <c r="F10" s="19" t="n">
        <f aca="false">SUMIFS(Transactions!$F$6:$F$87,Transactions!$D$6:$D$87,$A10,Transactions!$B$6:$B$87,"May 2026")</f>
        <v>56.98</v>
      </c>
      <c r="G10" s="19" t="n">
        <f aca="false">SUMIFS(Transactions!$F$6:$F$87,Transactions!$D$6:$D$87,$A10,Transactions!$B$6:$B$87,"Jun 2026")</f>
        <v>57.65</v>
      </c>
      <c r="H10" s="19" t="n">
        <f aca="false">SUMIFS(Transactions!$F$6:$F$87,Transactions!$D$6:$D$87,$A10,Transactions!$B$6:$B$87,"Jul 2026")</f>
        <v>57.54</v>
      </c>
      <c r="I10" s="19" t="n">
        <f aca="false">AVERAGE(C10:H10)</f>
        <v>57.6833333333333</v>
      </c>
      <c r="J10" s="19" t="n">
        <f aca="false">I10-B10</f>
        <v>-2.31666666666666</v>
      </c>
      <c r="K10" s="20" t="n">
        <f aca="false">IFERROR(J10/B10,0)</f>
        <v>-0.0386111111111111</v>
      </c>
    </row>
    <row r="11" customFormat="false" ht="15" hidden="false" customHeight="false" outlineLevel="0" collapsed="false">
      <c r="A11" s="15" t="s">
        <v>57</v>
      </c>
      <c r="B11" s="21" t="n">
        <v>40</v>
      </c>
      <c r="C11" s="22" t="n">
        <f aca="false">SUMIFS(Transactions!$F$6:$F$87,Transactions!$D$6:$D$87,$A11,Transactions!$B$6:$B$87,"Feb 2026")</f>
        <v>31.59</v>
      </c>
      <c r="D11" s="22" t="n">
        <f aca="false">SUMIFS(Transactions!$F$6:$F$87,Transactions!$D$6:$D$87,$A11,Transactions!$B$6:$B$87,"Mar 2026")</f>
        <v>30.63</v>
      </c>
      <c r="E11" s="22" t="n">
        <f aca="false">SUMIFS(Transactions!$F$6:$F$87,Transactions!$D$6:$D$87,$A11,Transactions!$B$6:$B$87,"Apr 2026")</f>
        <v>35.08</v>
      </c>
      <c r="F11" s="22" t="n">
        <f aca="false">SUMIFS(Transactions!$F$6:$F$87,Transactions!$D$6:$D$87,$A11,Transactions!$B$6:$B$87,"May 2026")</f>
        <v>33.67</v>
      </c>
      <c r="G11" s="22" t="n">
        <f aca="false">SUMIFS(Transactions!$F$6:$F$87,Transactions!$D$6:$D$87,$A11,Transactions!$B$6:$B$87,"Jun 2026")</f>
        <v>36.89</v>
      </c>
      <c r="H11" s="22" t="n">
        <f aca="false">SUMIFS(Transactions!$F$6:$F$87,Transactions!$D$6:$D$87,$A11,Transactions!$B$6:$B$87,"Jul 2026")</f>
        <v>31.22</v>
      </c>
      <c r="I11" s="22" t="n">
        <f aca="false">AVERAGE(C11:H11)</f>
        <v>33.18</v>
      </c>
      <c r="J11" s="22" t="n">
        <f aca="false">I11-B11</f>
        <v>-6.82</v>
      </c>
      <c r="K11" s="23" t="n">
        <f aca="false">IFERROR(J11/B11,0)</f>
        <v>-0.1705</v>
      </c>
    </row>
    <row r="12" customFormat="false" ht="15" hidden="false" customHeight="false" outlineLevel="0" collapsed="false">
      <c r="A12" s="11" t="s">
        <v>59</v>
      </c>
      <c r="B12" s="18" t="n">
        <v>150</v>
      </c>
      <c r="C12" s="19" t="n">
        <f aca="false">SUMIFS(Transactions!$F$6:$F$87,Transactions!$D$6:$D$87,$A12,Transactions!$B$6:$B$87,"Feb 2026")</f>
        <v>151.11</v>
      </c>
      <c r="D12" s="19" t="n">
        <f aca="false">SUMIFS(Transactions!$F$6:$F$87,Transactions!$D$6:$D$87,$A12,Transactions!$B$6:$B$87,"Mar 2026")</f>
        <v>161.35</v>
      </c>
      <c r="E12" s="19" t="n">
        <f aca="false">SUMIFS(Transactions!$F$6:$F$87,Transactions!$D$6:$D$87,$A12,Transactions!$B$6:$B$87,"Apr 2026")</f>
        <v>153.33</v>
      </c>
      <c r="F12" s="19" t="n">
        <f aca="false">SUMIFS(Transactions!$F$6:$F$87,Transactions!$D$6:$D$87,$A12,Transactions!$B$6:$B$87,"May 2026")</f>
        <v>106.17</v>
      </c>
      <c r="G12" s="19" t="n">
        <f aca="false">SUMIFS(Transactions!$F$6:$F$87,Transactions!$D$6:$D$87,$A12,Transactions!$B$6:$B$87,"Jun 2026")</f>
        <v>149.42</v>
      </c>
      <c r="H12" s="19" t="n">
        <f aca="false">SUMIFS(Transactions!$F$6:$F$87,Transactions!$D$6:$D$87,$A12,Transactions!$B$6:$B$87,"Jul 2026")</f>
        <v>107.92</v>
      </c>
      <c r="I12" s="19" t="n">
        <f aca="false">AVERAGE(C12:H12)</f>
        <v>138.216666666667</v>
      </c>
      <c r="J12" s="19" t="n">
        <f aca="false">I12-B12</f>
        <v>-11.7833333333333</v>
      </c>
      <c r="K12" s="20" t="n">
        <f aca="false">IFERROR(J12/B12,0)</f>
        <v>-0.0785555555555556</v>
      </c>
    </row>
    <row r="13" customFormat="false" ht="15" hidden="false" customHeight="false" outlineLevel="0" collapsed="false">
      <c r="A13" s="15" t="s">
        <v>61</v>
      </c>
      <c r="B13" s="21" t="n">
        <v>80</v>
      </c>
      <c r="C13" s="22" t="n">
        <f aca="false">SUMIFS(Transactions!$F$6:$F$87,Transactions!$D$6:$D$87,$A13,Transactions!$B$6:$B$87,"Feb 2026")</f>
        <v>54.92</v>
      </c>
      <c r="D13" s="22" t="n">
        <f aca="false">SUMIFS(Transactions!$F$6:$F$87,Transactions!$D$6:$D$87,$A13,Transactions!$B$6:$B$87,"Mar 2026")</f>
        <v>84.85</v>
      </c>
      <c r="E13" s="22" t="n">
        <f aca="false">SUMIFS(Transactions!$F$6:$F$87,Transactions!$D$6:$D$87,$A13,Transactions!$B$6:$B$87,"Apr 2026")</f>
        <v>65.8</v>
      </c>
      <c r="F13" s="22" t="n">
        <f aca="false">SUMIFS(Transactions!$F$6:$F$87,Transactions!$D$6:$D$87,$A13,Transactions!$B$6:$B$87,"May 2026")</f>
        <v>70.26</v>
      </c>
      <c r="G13" s="22" t="n">
        <f aca="false">SUMIFS(Transactions!$F$6:$F$87,Transactions!$D$6:$D$87,$A13,Transactions!$B$6:$B$87,"Jun 2026")</f>
        <v>75.68</v>
      </c>
      <c r="H13" s="22" t="n">
        <f aca="false">SUMIFS(Transactions!$F$6:$F$87,Transactions!$D$6:$D$87,$A13,Transactions!$B$6:$B$87,"Jul 2026")</f>
        <v>86.51</v>
      </c>
      <c r="I13" s="22" t="n">
        <f aca="false">AVERAGE(C13:H13)</f>
        <v>73.0033333333333</v>
      </c>
      <c r="J13" s="22" t="n">
        <f aca="false">I13-B13</f>
        <v>-6.99666666666667</v>
      </c>
      <c r="K13" s="23" t="n">
        <f aca="false">IFERROR(J13/B13,0)</f>
        <v>-0.0874583333333334</v>
      </c>
    </row>
    <row r="14" customFormat="false" ht="15" hidden="false" customHeight="false" outlineLevel="0" collapsed="false">
      <c r="A14" s="11" t="s">
        <v>63</v>
      </c>
      <c r="B14" s="18" t="n">
        <v>90</v>
      </c>
      <c r="C14" s="19" t="n">
        <f aca="false">SUMIFS(Transactions!$F$6:$F$87,Transactions!$D$6:$D$87,$A14,Transactions!$B$6:$B$87,"Feb 2026")</f>
        <v>70.3</v>
      </c>
      <c r="D14" s="19" t="n">
        <f aca="false">SUMIFS(Transactions!$F$6:$F$87,Transactions!$D$6:$D$87,$A14,Transactions!$B$6:$B$87,"Mar 2026")</f>
        <v>86.75</v>
      </c>
      <c r="E14" s="19" t="n">
        <f aca="false">SUMIFS(Transactions!$F$6:$F$87,Transactions!$D$6:$D$87,$A14,Transactions!$B$6:$B$87,"Apr 2026")</f>
        <v>109.42</v>
      </c>
      <c r="F14" s="19" t="n">
        <f aca="false">SUMIFS(Transactions!$F$6:$F$87,Transactions!$D$6:$D$87,$A14,Transactions!$B$6:$B$87,"May 2026")</f>
        <v>96.09</v>
      </c>
      <c r="G14" s="19" t="n">
        <f aca="false">SUMIFS(Transactions!$F$6:$F$87,Transactions!$D$6:$D$87,$A14,Transactions!$B$6:$B$87,"Jun 2026")</f>
        <v>96.3</v>
      </c>
      <c r="H14" s="19" t="n">
        <f aca="false">SUMIFS(Transactions!$F$6:$F$87,Transactions!$D$6:$D$87,$A14,Transactions!$B$6:$B$87,"Jul 2026")</f>
        <v>87.94</v>
      </c>
      <c r="I14" s="19" t="n">
        <f aca="false">AVERAGE(C14:H14)</f>
        <v>91.1333333333333</v>
      </c>
      <c r="J14" s="19" t="n">
        <f aca="false">I14-B14</f>
        <v>1.13333333333333</v>
      </c>
      <c r="K14" s="20" t="n">
        <f aca="false">IFERROR(J14/B14,0)</f>
        <v>0.0125925925925925</v>
      </c>
    </row>
    <row r="15" customFormat="false" ht="15" hidden="false" customHeight="false" outlineLevel="0" collapsed="false">
      <c r="A15" s="15" t="s">
        <v>65</v>
      </c>
      <c r="B15" s="21" t="n">
        <v>400</v>
      </c>
      <c r="C15" s="22" t="n">
        <f aca="false">SUMIFS(Transactions!$F$6:$F$87,Transactions!$D$6:$D$87,$A15,Transactions!$B$6:$B$87,"Feb 2026")</f>
        <v>425.88</v>
      </c>
      <c r="D15" s="22" t="n">
        <f aca="false">SUMIFS(Transactions!$F$6:$F$87,Transactions!$D$6:$D$87,$A15,Transactions!$B$6:$B$87,"Mar 2026")</f>
        <v>356.96</v>
      </c>
      <c r="E15" s="22" t="n">
        <f aca="false">SUMIFS(Transactions!$F$6:$F$87,Transactions!$D$6:$D$87,$A15,Transactions!$B$6:$B$87,"Apr 2026")</f>
        <v>418.82</v>
      </c>
      <c r="F15" s="22" t="n">
        <f aca="false">SUMIFS(Transactions!$F$6:$F$87,Transactions!$D$6:$D$87,$A15,Transactions!$B$6:$B$87,"May 2026")</f>
        <v>439.78</v>
      </c>
      <c r="G15" s="22" t="n">
        <f aca="false">SUMIFS(Transactions!$F$6:$F$87,Transactions!$D$6:$D$87,$A15,Transactions!$B$6:$B$87,"Jun 2026")</f>
        <v>414.1</v>
      </c>
      <c r="H15" s="22" t="n">
        <f aca="false">SUMIFS(Transactions!$F$6:$F$87,Transactions!$D$6:$D$87,$A15,Transactions!$B$6:$B$87,"Jul 2026")</f>
        <v>351.95</v>
      </c>
      <c r="I15" s="22" t="n">
        <f aca="false">AVERAGE(C15:H15)</f>
        <v>401.248333333333</v>
      </c>
      <c r="J15" s="22" t="n">
        <f aca="false">I15-B15</f>
        <v>1.24833333333328</v>
      </c>
      <c r="K15" s="23" t="n">
        <f aca="false">IFERROR(J15/B15,0)</f>
        <v>0.0031208333333332</v>
      </c>
    </row>
    <row r="16" customFormat="false" ht="15" hidden="false" customHeight="false" outlineLevel="0" collapsed="false">
      <c r="A16" s="11" t="s">
        <v>67</v>
      </c>
      <c r="B16" s="18" t="n">
        <v>100</v>
      </c>
      <c r="C16" s="19" t="n">
        <f aca="false">SUMIFS(Transactions!$F$6:$F$87,Transactions!$D$6:$D$87,$A16,Transactions!$B$6:$B$87,"Feb 2026")</f>
        <v>109.81</v>
      </c>
      <c r="D16" s="19" t="n">
        <f aca="false">SUMIFS(Transactions!$F$6:$F$87,Transactions!$D$6:$D$87,$A16,Transactions!$B$6:$B$87,"Mar 2026")</f>
        <v>62.79</v>
      </c>
      <c r="E16" s="19" t="n">
        <f aca="false">SUMIFS(Transactions!$F$6:$F$87,Transactions!$D$6:$D$87,$A16,Transactions!$B$6:$B$87,"Apr 2026")</f>
        <v>108.46</v>
      </c>
      <c r="F16" s="19" t="n">
        <f aca="false">SUMIFS(Transactions!$F$6:$F$87,Transactions!$D$6:$D$87,$A16,Transactions!$B$6:$B$87,"May 2026")</f>
        <v>76.2</v>
      </c>
      <c r="G16" s="19" t="n">
        <f aca="false">SUMIFS(Transactions!$F$6:$F$87,Transactions!$D$6:$D$87,$A16,Transactions!$B$6:$B$87,"Jun 2026")</f>
        <v>69.35</v>
      </c>
      <c r="H16" s="19" t="n">
        <f aca="false">SUMIFS(Transactions!$F$6:$F$87,Transactions!$D$6:$D$87,$A16,Transactions!$B$6:$B$87,"Jul 2026")</f>
        <v>127.87</v>
      </c>
      <c r="I16" s="19" t="n">
        <f aca="false">AVERAGE(C16:H16)</f>
        <v>92.4133333333333</v>
      </c>
      <c r="J16" s="19" t="n">
        <f aca="false">I16-B16</f>
        <v>-7.58666666666666</v>
      </c>
      <c r="K16" s="20" t="n">
        <f aca="false">IFERROR(J16/B16,0)</f>
        <v>-0.0758666666666666</v>
      </c>
    </row>
    <row r="17" customFormat="false" ht="15" hidden="false" customHeight="false" outlineLevel="0" collapsed="false">
      <c r="A17" s="24" t="s">
        <v>86</v>
      </c>
      <c r="B17" s="25" t="n">
        <f aca="false">SUM(B6:B16)</f>
        <v>2690</v>
      </c>
      <c r="C17" s="25" t="n">
        <f aca="false">SUM(C6:C16)</f>
        <v>2582.34</v>
      </c>
      <c r="D17" s="25" t="n">
        <f aca="false">SUM(D6:D16)</f>
        <v>2536.4</v>
      </c>
      <c r="E17" s="25" t="n">
        <f aca="false">SUM(E6:E16)</f>
        <v>2659.05</v>
      </c>
      <c r="F17" s="25" t="n">
        <f aca="false">SUM(F6:F16)</f>
        <v>2655.31</v>
      </c>
      <c r="G17" s="25" t="n">
        <f aca="false">SUM(G6:G16)</f>
        <v>2641.91</v>
      </c>
      <c r="H17" s="25" t="n">
        <f aca="false">SUM(H6:H16)</f>
        <v>2619.3</v>
      </c>
      <c r="I17" s="25" t="n">
        <f aca="false">SUM(I6:I16)</f>
        <v>2615.71833333333</v>
      </c>
      <c r="J17" s="25" t="n">
        <f aca="false">SUM(J6:J16)</f>
        <v>-74.2816666666667</v>
      </c>
      <c r="K17" s="26"/>
    </row>
  </sheetData>
  <mergeCells count="2">
    <mergeCell ref="A1:J2"/>
    <mergeCell ref="A3:J3"/>
  </mergeCells>
  <conditionalFormatting sqref="J6:J16">
    <cfRule type="cellIs" priority="2" operator="greaterThan" aboveAverage="0" equalAverage="0" bottom="0" percent="0" rank="0" text="" dxfId="0">
      <formula>0</formula>
    </cfRule>
    <cfRule type="cellIs" priority="3" operator="less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9" min="2" style="0" width="14"/>
  </cols>
  <sheetData>
    <row r="1" customFormat="false" ht="25.5" hidden="false" customHeight="true" outlineLevel="0" collapsed="false">
      <c r="A1" s="1" t="s">
        <v>87</v>
      </c>
      <c r="B1" s="1"/>
      <c r="C1" s="1"/>
      <c r="D1" s="1"/>
      <c r="E1" s="1"/>
      <c r="F1" s="1"/>
      <c r="G1" s="1"/>
      <c r="H1" s="1"/>
      <c r="I1" s="1"/>
    </row>
    <row r="2" customFormat="false" ht="7.5" hidden="false" customHeight="true" outlineLevel="0" collapsed="false">
      <c r="A2" s="1"/>
      <c r="B2" s="1"/>
      <c r="C2" s="1"/>
      <c r="D2" s="1"/>
      <c r="E2" s="1"/>
      <c r="F2" s="1"/>
      <c r="G2" s="1"/>
      <c r="H2" s="1"/>
      <c r="I2" s="1"/>
    </row>
    <row r="3" customFormat="false" ht="15.75" hidden="false" customHeight="true" outlineLevel="0" collapsed="false">
      <c r="A3" s="2" t="s">
        <v>88</v>
      </c>
      <c r="B3" s="2"/>
      <c r="C3" s="2"/>
      <c r="D3" s="2"/>
      <c r="E3" s="2"/>
      <c r="F3" s="2"/>
      <c r="G3" s="2"/>
      <c r="H3" s="2"/>
      <c r="I3" s="2"/>
    </row>
    <row r="5" customFormat="false" ht="21.75" hidden="false" customHeight="true" outlineLevel="0" collapsed="false">
      <c r="A5" s="9" t="s">
        <v>35</v>
      </c>
      <c r="B5" s="9" t="s">
        <v>89</v>
      </c>
      <c r="C5" s="9" t="s">
        <v>90</v>
      </c>
      <c r="D5" s="9" t="s">
        <v>91</v>
      </c>
      <c r="E5" s="9" t="s">
        <v>92</v>
      </c>
      <c r="F5" s="9" t="s">
        <v>93</v>
      </c>
      <c r="G5" s="9" t="s">
        <v>94</v>
      </c>
      <c r="H5" s="9" t="s">
        <v>95</v>
      </c>
      <c r="I5" s="9" t="s">
        <v>96</v>
      </c>
    </row>
    <row r="6" customFormat="false" ht="15" hidden="false" customHeight="false" outlineLevel="0" collapsed="false">
      <c r="A6" s="11" t="s">
        <v>40</v>
      </c>
      <c r="B6" s="18" t="n">
        <v>900</v>
      </c>
      <c r="C6" s="18" t="n">
        <v>3200</v>
      </c>
      <c r="D6" s="18" t="n">
        <v>6100</v>
      </c>
      <c r="E6" s="18" t="n">
        <v>420</v>
      </c>
      <c r="F6" s="18" t="n">
        <v>8200</v>
      </c>
      <c r="G6" s="19" t="n">
        <f aca="false">B6+C6+D6</f>
        <v>10200</v>
      </c>
      <c r="H6" s="19" t="n">
        <f aca="false">E6+F6</f>
        <v>8620</v>
      </c>
      <c r="I6" s="27" t="n">
        <f aca="false">G6-H6</f>
        <v>1580</v>
      </c>
    </row>
    <row r="7" customFormat="false" ht="15" hidden="false" customHeight="false" outlineLevel="0" collapsed="false">
      <c r="A7" s="15" t="s">
        <v>69</v>
      </c>
      <c r="B7" s="21" t="n">
        <v>1050</v>
      </c>
      <c r="C7" s="21" t="n">
        <v>3550</v>
      </c>
      <c r="D7" s="21" t="n">
        <v>6550</v>
      </c>
      <c r="E7" s="21" t="n">
        <v>380</v>
      </c>
      <c r="F7" s="21" t="n">
        <v>8050</v>
      </c>
      <c r="G7" s="22" t="n">
        <f aca="false">B7+C7+D7</f>
        <v>11150</v>
      </c>
      <c r="H7" s="22" t="n">
        <f aca="false">E7+F7</f>
        <v>8430</v>
      </c>
      <c r="I7" s="28" t="n">
        <f aca="false">G7-H7</f>
        <v>2720</v>
      </c>
    </row>
    <row r="8" customFormat="false" ht="15" hidden="false" customHeight="false" outlineLevel="0" collapsed="false">
      <c r="A8" s="11" t="s">
        <v>70</v>
      </c>
      <c r="B8" s="18" t="n">
        <v>980</v>
      </c>
      <c r="C8" s="18" t="n">
        <v>3900</v>
      </c>
      <c r="D8" s="18" t="n">
        <v>7000</v>
      </c>
      <c r="E8" s="18" t="n">
        <v>460</v>
      </c>
      <c r="F8" s="18" t="n">
        <v>7900</v>
      </c>
      <c r="G8" s="19" t="n">
        <f aca="false">B8+C8+D8</f>
        <v>11880</v>
      </c>
      <c r="H8" s="19" t="n">
        <f aca="false">E8+F8</f>
        <v>8360</v>
      </c>
      <c r="I8" s="27" t="n">
        <f aca="false">G8-H8</f>
        <v>3520</v>
      </c>
    </row>
    <row r="9" customFormat="false" ht="15" hidden="false" customHeight="false" outlineLevel="0" collapsed="false">
      <c r="A9" s="15" t="s">
        <v>71</v>
      </c>
      <c r="B9" s="21" t="n">
        <v>1120</v>
      </c>
      <c r="C9" s="21" t="n">
        <v>4300</v>
      </c>
      <c r="D9" s="21" t="n">
        <v>7480</v>
      </c>
      <c r="E9" s="21" t="n">
        <v>300</v>
      </c>
      <c r="F9" s="21" t="n">
        <v>7750</v>
      </c>
      <c r="G9" s="22" t="n">
        <f aca="false">B9+C9+D9</f>
        <v>12900</v>
      </c>
      <c r="H9" s="22" t="n">
        <f aca="false">E9+F9</f>
        <v>8050</v>
      </c>
      <c r="I9" s="28" t="n">
        <f aca="false">G9-H9</f>
        <v>4850</v>
      </c>
    </row>
    <row r="10" customFormat="false" ht="15" hidden="false" customHeight="false" outlineLevel="0" collapsed="false">
      <c r="A10" s="11" t="s">
        <v>72</v>
      </c>
      <c r="B10" s="18" t="n">
        <v>1000</v>
      </c>
      <c r="C10" s="18" t="n">
        <v>4700</v>
      </c>
      <c r="D10" s="18" t="n">
        <v>7950</v>
      </c>
      <c r="E10" s="18" t="n">
        <v>350</v>
      </c>
      <c r="F10" s="18" t="n">
        <v>7600</v>
      </c>
      <c r="G10" s="19" t="n">
        <f aca="false">B10+C10+D10</f>
        <v>13650</v>
      </c>
      <c r="H10" s="19" t="n">
        <f aca="false">E10+F10</f>
        <v>7950</v>
      </c>
      <c r="I10" s="27" t="n">
        <f aca="false">G10-H10</f>
        <v>5700</v>
      </c>
    </row>
    <row r="11" customFormat="false" ht="15" hidden="false" customHeight="false" outlineLevel="0" collapsed="false">
      <c r="A11" s="15" t="s">
        <v>73</v>
      </c>
      <c r="B11" s="21" t="n">
        <v>1150</v>
      </c>
      <c r="C11" s="21" t="n">
        <v>5150</v>
      </c>
      <c r="D11" s="21" t="n">
        <v>8450</v>
      </c>
      <c r="E11" s="21" t="n">
        <v>280</v>
      </c>
      <c r="F11" s="21" t="n">
        <v>7450</v>
      </c>
      <c r="G11" s="22" t="n">
        <f aca="false">B11+C11+D11</f>
        <v>14750</v>
      </c>
      <c r="H11" s="22" t="n">
        <f aca="false">E11+F11</f>
        <v>7730</v>
      </c>
      <c r="I11" s="28" t="n">
        <f aca="false">G11-H11</f>
        <v>7020</v>
      </c>
    </row>
  </sheetData>
  <mergeCells count="2">
    <mergeCell ref="A1:I2"/>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6" min="2" style="0" width="15"/>
  </cols>
  <sheetData>
    <row r="1" customFormat="false" ht="25.5" hidden="false" customHeight="true" outlineLevel="0" collapsed="false">
      <c r="A1" s="1" t="s">
        <v>97</v>
      </c>
      <c r="B1" s="1"/>
      <c r="C1" s="1"/>
      <c r="D1" s="1"/>
      <c r="E1" s="1"/>
      <c r="F1" s="1"/>
    </row>
    <row r="2" customFormat="false" ht="7.5" hidden="false" customHeight="true" outlineLevel="0" collapsed="false">
      <c r="A2" s="1"/>
      <c r="B2" s="1"/>
      <c r="C2" s="1"/>
      <c r="D2" s="1"/>
      <c r="E2" s="1"/>
      <c r="F2" s="1"/>
    </row>
    <row r="3" customFormat="false" ht="15.75" hidden="false" customHeight="true" outlineLevel="0" collapsed="false">
      <c r="A3" s="2" t="s">
        <v>98</v>
      </c>
      <c r="B3" s="2"/>
      <c r="C3" s="2"/>
      <c r="D3" s="2"/>
      <c r="E3" s="2"/>
      <c r="F3" s="2"/>
    </row>
    <row r="5" customFormat="false" ht="21.75" hidden="false" customHeight="true" outlineLevel="0" collapsed="false">
      <c r="A5" s="9" t="s">
        <v>35</v>
      </c>
      <c r="B5" s="9" t="s">
        <v>99</v>
      </c>
      <c r="C5" s="9" t="s">
        <v>100</v>
      </c>
      <c r="D5" s="9" t="s">
        <v>101</v>
      </c>
      <c r="E5" s="9" t="s">
        <v>102</v>
      </c>
      <c r="F5" s="9" t="s">
        <v>96</v>
      </c>
    </row>
    <row r="6" customFormat="false" ht="15" hidden="false" customHeight="false" outlineLevel="0" collapsed="false">
      <c r="A6" s="11" t="s">
        <v>40</v>
      </c>
      <c r="B6" s="19" t="n">
        <f aca="false">SUMIFS(Transactions!$F$6:$F$87,Transactions!$C$6:$C$87,"Income",Transactions!$B$6:$B$87,A6)</f>
        <v>3561.13</v>
      </c>
      <c r="C6" s="19" t="n">
        <f aca="false">SUMIFS(Transactions!$F$6:$F$87,Transactions!$C$6:$C$87,"Expense",Transactions!$B$6:$B$87,A6)</f>
        <v>2582.34</v>
      </c>
      <c r="D6" s="19" t="n">
        <f aca="false">B6-C6</f>
        <v>978.79</v>
      </c>
      <c r="E6" s="20" t="n">
        <f aca="false">IFERROR(D6/B6,0)</f>
        <v>0.274853768326346</v>
      </c>
      <c r="F6" s="19" t="n">
        <f aca="false">'Net Worth Tracker'!I6</f>
        <v>1580</v>
      </c>
    </row>
    <row r="7" customFormat="false" ht="15" hidden="false" customHeight="false" outlineLevel="0" collapsed="false">
      <c r="A7" s="15" t="s">
        <v>69</v>
      </c>
      <c r="B7" s="22" t="n">
        <f aca="false">SUMIFS(Transactions!$F$6:$F$87,Transactions!$C$6:$C$87,"Income",Transactions!$B$6:$B$87,A7)</f>
        <v>3404.78</v>
      </c>
      <c r="C7" s="22" t="n">
        <f aca="false">SUMIFS(Transactions!$F$6:$F$87,Transactions!$C$6:$C$87,"Expense",Transactions!$B$6:$B$87,A7)</f>
        <v>2536.4</v>
      </c>
      <c r="D7" s="22" t="n">
        <f aca="false">B7-C7</f>
        <v>868.38</v>
      </c>
      <c r="E7" s="23" t="n">
        <f aca="false">IFERROR(D7/B7,0)</f>
        <v>0.255047315832447</v>
      </c>
      <c r="F7" s="22" t="n">
        <f aca="false">'Net Worth Tracker'!I7</f>
        <v>2720</v>
      </c>
    </row>
    <row r="8" customFormat="false" ht="15" hidden="false" customHeight="false" outlineLevel="0" collapsed="false">
      <c r="A8" s="11" t="s">
        <v>70</v>
      </c>
      <c r="B8" s="19" t="n">
        <f aca="false">SUMIFS(Transactions!$F$6:$F$87,Transactions!$C$6:$C$87,"Income",Transactions!$B$6:$B$87,A8)</f>
        <v>3594.49</v>
      </c>
      <c r="C8" s="19" t="n">
        <f aca="false">SUMIFS(Transactions!$F$6:$F$87,Transactions!$C$6:$C$87,"Expense",Transactions!$B$6:$B$87,A8)</f>
        <v>2659.05</v>
      </c>
      <c r="D8" s="19" t="n">
        <f aca="false">B8-C8</f>
        <v>935.44</v>
      </c>
      <c r="E8" s="20" t="n">
        <f aca="false">IFERROR(D8/B8,0)</f>
        <v>0.26024276044724</v>
      </c>
      <c r="F8" s="19" t="n">
        <f aca="false">'Net Worth Tracker'!I8</f>
        <v>3520</v>
      </c>
    </row>
    <row r="9" customFormat="false" ht="15" hidden="false" customHeight="false" outlineLevel="0" collapsed="false">
      <c r="A9" s="15" t="s">
        <v>71</v>
      </c>
      <c r="B9" s="22" t="n">
        <f aca="false">SUMIFS(Transactions!$F$6:$F$87,Transactions!$C$6:$C$87,"Income",Transactions!$B$6:$B$87,A9)</f>
        <v>3741.95</v>
      </c>
      <c r="C9" s="22" t="n">
        <f aca="false">SUMIFS(Transactions!$F$6:$F$87,Transactions!$C$6:$C$87,"Expense",Transactions!$B$6:$B$87,A9)</f>
        <v>2655.31</v>
      </c>
      <c r="D9" s="22" t="n">
        <f aca="false">B9-C9</f>
        <v>1086.64</v>
      </c>
      <c r="E9" s="23" t="n">
        <f aca="false">IFERROR(D9/B9,0)</f>
        <v>0.290394045885167</v>
      </c>
      <c r="F9" s="22" t="n">
        <f aca="false">'Net Worth Tracker'!I9</f>
        <v>4850</v>
      </c>
    </row>
    <row r="10" customFormat="false" ht="15" hidden="false" customHeight="false" outlineLevel="0" collapsed="false">
      <c r="A10" s="11" t="s">
        <v>72</v>
      </c>
      <c r="B10" s="19" t="n">
        <f aca="false">SUMIFS(Transactions!$F$6:$F$87,Transactions!$C$6:$C$87,"Income",Transactions!$B$6:$B$87,A10)</f>
        <v>3729.01</v>
      </c>
      <c r="C10" s="19" t="n">
        <f aca="false">SUMIFS(Transactions!$F$6:$F$87,Transactions!$C$6:$C$87,"Expense",Transactions!$B$6:$B$87,A10)</f>
        <v>2641.91</v>
      </c>
      <c r="D10" s="19" t="n">
        <f aca="false">B10-C10</f>
        <v>1087.1</v>
      </c>
      <c r="E10" s="20" t="n">
        <f aca="false">IFERROR(D10/B10,0)</f>
        <v>0.291525096473327</v>
      </c>
      <c r="F10" s="19" t="n">
        <f aca="false">'Net Worth Tracker'!I10</f>
        <v>5700</v>
      </c>
    </row>
    <row r="11" customFormat="false" ht="15" hidden="false" customHeight="false" outlineLevel="0" collapsed="false">
      <c r="A11" s="15" t="s">
        <v>73</v>
      </c>
      <c r="B11" s="22" t="n">
        <f aca="false">SUMIFS(Transactions!$F$6:$F$87,Transactions!$C$6:$C$87,"Income",Transactions!$B$6:$B$87,A11)</f>
        <v>3388.07</v>
      </c>
      <c r="C11" s="22" t="n">
        <f aca="false">SUMIFS(Transactions!$F$6:$F$87,Transactions!$C$6:$C$87,"Expense",Transactions!$B$6:$B$87,A11)</f>
        <v>2619.3</v>
      </c>
      <c r="D11" s="22" t="n">
        <f aca="false">B11-C11</f>
        <v>768.77</v>
      </c>
      <c r="E11" s="23" t="n">
        <f aca="false">IFERROR(D11/B11,0)</f>
        <v>0.226904993108171</v>
      </c>
      <c r="F11" s="22" t="n">
        <f aca="false">'Net Worth Tracker'!I11</f>
        <v>7020</v>
      </c>
    </row>
    <row r="12" customFormat="false" ht="15" hidden="false" customHeight="false" outlineLevel="0" collapsed="false">
      <c r="A12" s="26" t="s">
        <v>103</v>
      </c>
      <c r="B12" s="25" t="n">
        <f aca="false">SUM(B6:B11)</f>
        <v>21419.43</v>
      </c>
      <c r="C12" s="25" t="n">
        <f aca="false">SUM(C6:C11)</f>
        <v>15694.31</v>
      </c>
      <c r="D12" s="25" t="n">
        <f aca="false">SUM(D6:D11)</f>
        <v>5725.12</v>
      </c>
      <c r="E12" s="29" t="n">
        <f aca="false">AVERAGE(E6:E11)</f>
        <v>0.26649466334545</v>
      </c>
      <c r="F12" s="25" t="n">
        <f aca="false">F11</f>
        <v>7020</v>
      </c>
    </row>
  </sheetData>
  <mergeCells count="2">
    <mergeCell ref="A1: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2026-08-07T04:33:38Z</dcterms:created>
  <dc:creator>openpyxl</dc:creator>
  <dc:description/>
  <dc:language>en-US</dc:language>
  <cp:lastModifiedBy/>
  <dcterms:modified xsi:type="dcterms:W3CDTF">2026-08-07T04:33:43Z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