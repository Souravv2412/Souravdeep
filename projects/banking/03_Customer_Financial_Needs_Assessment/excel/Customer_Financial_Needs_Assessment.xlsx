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6bd1af3d0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dc363c245a24d83"/>
    <x:sheet xmlns:r="http://schemas.openxmlformats.org/officeDocument/2006/relationships" name="Client Inputs" sheetId="2" r:id="Redf0d238fdce49f6"/>
    <x:sheet xmlns:r="http://schemas.openxmlformats.org/officeDocument/2006/relationships" name="Product Guidance" sheetId="3" r:id="Rac06637fcda44ac3"/>
    <x:sheet xmlns:r="http://schemas.openxmlformats.org/officeDocument/2006/relationships" name="Sample Scenarios" sheetId="4" r:id="Rcc83b2f5ddca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67A9"/>
      <x:name val="Carlito"/>
    </x:font>
    <x:font>
      <x:b/>
      <x:sz val="11"/>
      <x:color rgb="FF0B2545"/>
      <x:name val="Carlito"/>
    </x:font>
    <x:font>
      <x:sz val="11"/>
      <x:color rgb="FF5E6C80"/>
      <x:name val="Carlito"/>
    </x:font>
    <x:font>
      <x:i/>
      <x:sz val="11"/>
      <x:color rgb="FF5E6C80"/>
      <x:name val="Carlito"/>
    </x:font>
    <x:font>
      <x:b/>
      <x:sz val="12"/>
      <x:color rgb="FF0B2545"/>
      <x:name val="Carlito"/>
    </x:font>
    <x:font>
      <x:sz val="11"/>
      <x:color rgb="FF0000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1767A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DF4FA"/>
      </x:patternFill>
    </x:fill>
    <x:fill>
      <x:patternFill patternType="solid">
        <x:fgColor rgb="FFFFF6D8"/>
      </x:patternFill>
    </x:fill>
    <x:fill>
      <x:patternFill patternType="solid">
        <x:fgColor rgb="FFE7F7EF"/>
      </x:patternFill>
    </x:fill>
    <x:fill>
      <x:patternFill patternType="solid">
        <x:fgColor rgb="FFD6A948"/>
      </x:patternFill>
    </x:fill>
  </x:fills>
  <x:borders count="5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200" fontId="8" fillId="5" borderId="1" xfId="0" applyNumberFormat="1" applyFont="1" applyFill="1" applyBorder="1" applyAlignment="1">
      <x:alignment wrapText="1"/>
    </x:xf>
    <x:xf numFmtId="201" fontId="8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10" fillId="3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f5aa79f794524" /><Relationship Type="http://schemas.openxmlformats.org/officeDocument/2006/relationships/theme" Target="/xl/theme/theme1.xml" Id="Rf173b5faf0fc4d8d" /><Relationship Type="http://schemas.openxmlformats.org/officeDocument/2006/relationships/sharedStrings" Target="/xl/sharedStrings.xml" Id="Rea5bbbb721bd47f5" /><Relationship Type="http://schemas.openxmlformats.org/officeDocument/2006/relationships/worksheet" Target="/xl/worksheets/sheet1.xml" Id="Redc363c245a24d83" /><Relationship Type="http://schemas.openxmlformats.org/officeDocument/2006/relationships/worksheet" Target="/xl/worksheets/sheet2.xml" Id="Redf0d238fdce49f6" /><Relationship Type="http://schemas.openxmlformats.org/officeDocument/2006/relationships/worksheet" Target="/xl/worksheets/sheet3.xml" Id="Rac06637fcda44ac3" /><Relationship Type="http://schemas.openxmlformats.org/officeDocument/2006/relationships/worksheet" Target="/xl/worksheets/sheet4.xml" Id="Rcc83b2f5ddca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3" t="str">
        <x:v>Customer Financial Needs Assessment</x:v>
      </x:c>
    </x:row>
    <x:row r="2" ht="34" customHeight="1"/>
    <x:row r="4">
      <x:c r="A4" s="4" t="str">
        <x:v>Educational portfolio workbook for structured discovery and documentation</x:v>
      </x:c>
    </x:row>
    <x:row r="6" ht="44" customHeight="1">
      <x:c r="A6" s="8" t="str">
        <x:v>Purpose</x:v>
      </x:c>
      <x:c r="B6" s="12" t="str">
        <x:v>Organize hypothetical client inputs, calculate basic discussion indicators, and prepare follow-up questions.</x:v>
      </x:c>
    </x:row>
    <x:row r="7" ht="44" customHeight="1">
      <x:c r="A7" s="8" t="str">
        <x:v>How to use</x:v>
      </x:c>
      <x:c r="B7" s="12" t="str">
        <x:v>Enter values only in the yellow cells on Client Inputs. Review the calculated indicators and conversation focus below.</x:v>
      </x:c>
    </x:row>
    <x:row r="8" ht="44" customHeight="1">
      <x:c r="A8" s="8" t="str">
        <x:v>Data</x:v>
      </x:c>
      <x:c r="B8" s="12" t="str">
        <x:v>Sample Scenarios contains synthetic profiles only. Do not enter real client-identifying or confidential information.</x:v>
      </x:c>
    </x:row>
    <x:row r="9" ht="44" customHeight="1">
      <x:c r="A9" s="8" t="str">
        <x:v>Verification</x:v>
      </x:c>
      <x:c r="B9" s="12" t="str">
        <x:v>Confirm eligibility, contribution room, rates, fees, product terms, and current rules using official sources and approved bank procedures.</x:v>
      </x:c>
    </x:row>
    <x:row r="10" ht="44" customHeight="1">
      <x:c r="A10" s="8" t="str">
        <x:v>Limitations</x:v>
      </x:c>
      <x:c r="B10" s="12" t="str">
        <x:v>This workbook does not assess suitability, approve products, or replace licensed financial, investment, tax, or legal advice.</x:v>
      </x:c>
    </x:row>
    <x:row r="11" ht="44" customHeight="1">
      <x:c r="A11" s="8" t="str">
        <x:v>Portfolio note</x:v>
      </x:c>
      <x:c r="B11" s="12" t="str">
        <x:v>Created by Souravdeep Singh to demonstrate organized needs discovery, documentation, Excel formulas, and client-service preparation.</x:v>
      </x:c>
    </x:row>
  </x:sheetData>
  <x:mergeCells>
    <x:mergeCell ref="A1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6" hidden="0" customWidth="1"/>
    <x:col min="3" max="3" width="3" hidden="0" customWidth="1"/>
    <x:col min="4" max="4" width="7" hidden="0" customWidth="1"/>
    <x:col min="5" max="5" width="25" hidden="0" customWidth="1"/>
    <x:col min="6" max="6" width="45" hidden="0" customWidth="1"/>
  </x:cols>
  <x:sheetData>
    <x:row r="1" ht="34" customHeight="1">
      <x:c r="A1" s="3" t="str">
        <x:v>Client Inputs and Conversation Preparation</x:v>
      </x:c>
    </x:row>
    <x:row r="2" ht="34" customHeight="1"/>
    <x:row r="3">
      <x:c r="A3" s="14" t="str">
        <x:v>Use hypothetical information only. Yellow cells are editable; calculated cells are formula-driven.</x:v>
      </x:c>
    </x:row>
    <x:row r="5">
      <x:c r="A5" s="17" t="str">
        <x:v>Hypothetical Profile Inputs</x:v>
      </x:c>
      <x:c r="B5" s="18"/>
      <x:c r="C5" s="19"/>
      <x:c r="D5" s="17" t="str">
        <x:v>Prepared Conversation Checklist</x:v>
      </x:c>
      <x:c r="E5" s="18"/>
      <x:c r="F5" s="19"/>
    </x:row>
    <x:row r="6" ht="38" customHeight="1">
      <x:c r="A6" s="7" t="str">
        <x:v>Monthly income</x:v>
      </x:c>
      <x:c r="B6" s="23" t="n">
        <x:v>4300</x:v>
      </x:c>
      <x:c r="D6" s="35" t="str">
        <x:v>1</x:v>
      </x:c>
      <x:c r="E6" s="37" t="str">
        <x:v>Clarify the goal</x:v>
      </x:c>
      <x:c r="F6" s="12" t="str">
        <x:v>Confirm purpose, target amount, and timeline.</x:v>
      </x:c>
    </x:row>
    <x:row r="7" ht="38" customHeight="1">
      <x:c r="A7" s="7" t="str">
        <x:v>Monthly essential expenses</x:v>
      </x:c>
      <x:c r="B7" s="23" t="n">
        <x:v>2450</x:v>
      </x:c>
      <x:c r="D7" s="35" t="str">
        <x:v>2</x:v>
      </x:c>
      <x:c r="E7" s="37" t="str">
        <x:v>Review liquidity</x:v>
      </x:c>
      <x:c r="F7" s="12" t="str">
        <x:v>Ask what funds must remain immediately available.</x:v>
      </x:c>
    </x:row>
    <x:row r="8" ht="38" customHeight="1">
      <x:c r="A8" s="7" t="str">
        <x:v>Emergency savings</x:v>
      </x:c>
      <x:c r="B8" s="23" t="n">
        <x:v>5200</x:v>
      </x:c>
      <x:c r="D8" s="35" t="str">
        <x:v>3</x:v>
      </x:c>
      <x:c r="E8" s="37" t="str">
        <x:v>Review obligations</x:v>
      </x:c>
      <x:c r="F8" s="12" t="str">
        <x:v>Confirm essential spending and outstanding debt.</x:v>
      </x:c>
    </x:row>
    <x:row r="9" ht="38" customHeight="1">
      <x:c r="A9" s="7" t="str">
        <x:v>High-interest debt</x:v>
      </x:c>
      <x:c r="B9" s="23" t="n">
        <x:v>1800</x:v>
      </x:c>
      <x:c r="D9" s="35" t="str">
        <x:v>4</x:v>
      </x:c>
      <x:c r="E9" s="37" t="str">
        <x:v>Verify records</x:v>
      </x:c>
      <x:c r="F9" s="12" t="str">
        <x:v>Use client records and current official contribution-room sources.</x:v>
      </x:c>
    </x:row>
    <x:row r="10" ht="38" customHeight="1">
      <x:c r="A10" s="7" t="str">
        <x:v>Short-term goal amount</x:v>
      </x:c>
      <x:c r="B10" s="23" t="n">
        <x:v>15000</x:v>
      </x:c>
      <x:c r="D10" s="35" t="str">
        <x:v>5</x:v>
      </x:c>
      <x:c r="E10" s="37" t="str">
        <x:v>Explain choices</x:v>
      </x:c>
      <x:c r="F10" s="12" t="str">
        <x:v>Discuss features, access, terms, fees, and risks in plain language.</x:v>
      </x:c>
    </x:row>
    <x:row r="11" ht="38" customHeight="1">
      <x:c r="A11" s="7" t="str">
        <x:v>Goal horizon (months)</x:v>
      </x:c>
      <x:c r="B11" s="22" t="n">
        <x:v>36</x:v>
      </x:c>
      <x:c r="D11" s="35" t="str">
        <x:v>6</x:v>
      </x:c>
      <x:c r="E11" s="37" t="str">
        <x:v>Document follow-up</x:v>
      </x:c>
      <x:c r="F11" s="12" t="str">
        <x:v>Record questions, required verification, and agreed next steps.</x:v>
      </x:c>
    </x:row>
    <x:row r="12" ht="38" customHeight="1">
      <x:c r="A12" s="7" t="str">
        <x:v>Risk preference</x:v>
      </x:c>
      <x:c r="B12" s="22" t="str">
        <x:v>Moderate</x:v>
      </x:c>
      <x:c r="D12" s="35" t="str">
        <x:v>7</x:v>
      </x:c>
      <x:c r="E12" s="37" t="str">
        <x:v>Escalate when needed</x:v>
      </x:c>
      <x:c r="F12" s="12" t="str">
        <x:v>Refer regulated, tax, or complex advice to the appropriate professional.</x:v>
      </x:c>
    </x:row>
    <x:row r="14">
      <x:c r="A14" s="17" t="str">
        <x:v>Calculated Review Indicators</x:v>
      </x:c>
      <x:c r="B14" s="18"/>
      <x:c r="C14" s="19"/>
    </x:row>
    <x:row r="15">
      <x:c r="A15" s="7" t="str">
        <x:v>Monthly surplus</x:v>
      </x:c>
      <x:c r="B15" s="28" t="n">
        <x:f>B6-B7</x:f>
        <x:v>1850</x:v>
      </x:c>
    </x:row>
    <x:row r="16">
      <x:c r="A16" s="7" t="str">
        <x:v>Emergency coverage (months)</x:v>
      </x:c>
      <x:c r="B16" s="29" t="n">
        <x:f>IFERROR(B8/B7,0)</x:f>
        <x:v>2.122448979591837</x:v>
      </x:c>
    </x:row>
    <x:row r="17">
      <x:c r="A17" s="7" t="str">
        <x:v>Three-month emergency gap</x:v>
      </x:c>
      <x:c r="B17" s="28" t="n">
        <x:f>IF(B7*3&gt;B8,B7*3-B8,0)</x:f>
        <x:v>2150</x:v>
      </x:c>
    </x:row>
    <x:row r="18">
      <x:c r="A18" s="7" t="str">
        <x:v>Goal contribution per month</x:v>
      </x:c>
      <x:c r="B18" s="28" t="n">
        <x:f>IFERROR(B10/B11,0)</x:f>
        <x:v>416.6666666666667</x:v>
      </x:c>
    </x:row>
    <x:row r="19">
      <x:c r="A19" s="7" t="str">
        <x:v>Debt review flag</x:v>
      </x:c>
      <x:c r="B19" s="27" t="str">
        <x:f>IF(B9&gt;0,"Discuss debt cost and repayment priorities","No high-interest debt entered")</x:f>
        <x:v>Discuss debt cost and repayment priorities</x:v>
      </x:c>
    </x:row>
    <x:row r="20" ht="34" customHeight="1">
      <x:c r="A20" s="7" t="str">
        <x:v>Conversation focus</x:v>
      </x:c>
      <x:c r="B20" s="27" t="str">
        <x:f>IF(B15&lt;0,"Cash-flow gap requires review",IF(B9&gt;0,"Debt and emergency liquidity",IF(B16&lt;3,"Emergency liquidity","Goal planning and follow-up")))</x:f>
        <x:v>Debt and emergency liquidity</x:v>
      </x:c>
    </x:row>
  </x:sheetData>
  <x:mergeCells>
    <x:mergeCell ref="A1:F2"/>
    <x:mergeCell ref="A3:F3"/>
    <x:mergeCell ref="A5:C5"/>
    <x:mergeCell ref="A14:C14"/>
    <x:mergeCell ref="D5:F5"/>
  </x:mergeCells>
  <x:dataValidations count="1">
    <x:dataValidation type="list" sqref="B12">
      <x:formula1>"Conservative,Moderate,Growth"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48" hidden="0" customWidth="1"/>
  </x:cols>
  <x:sheetData>
    <x:row r="1" ht="34" customHeight="1">
      <x:c r="A1" s="3" t="str">
        <x:v>Educational Product-Category Guidance</x:v>
      </x:c>
    </x:row>
    <x:row r="2" ht="34" customHeight="1"/>
    <x:row r="4" ht="54" customHeight="1">
      <x:c r="A4" s="39" t="str">
        <x:v>Category</x:v>
      </x:c>
      <x:c r="B4" s="39" t="str">
        <x:v>Potential need</x:v>
      </x:c>
      <x:c r="C4" s="39" t="str">
        <x:v>Conversation prompt</x:v>
      </x:c>
      <x:c r="D4" s="39" t="str">
        <x:v>Verification reminder</x:v>
      </x:c>
    </x:row>
    <x:row r="5" ht="54" customHeight="1">
      <x:c r="A5" s="40" t="str">
        <x:v>High-interest savings</x:v>
      </x:c>
      <x:c r="B5" s="32" t="str">
        <x:v>Emergency liquidity</x:v>
      </x:c>
      <x:c r="C5" s="32" t="str">
        <x:v>How much essential spending should remain immediately accessible?</x:v>
      </x:c>
      <x:c r="D5" s="32" t="str">
        <x:v>Confirm rates, terms, fees, and deposit-insurance details.</x:v>
      </x:c>
    </x:row>
    <x:row r="6" ht="54" customHeight="1">
      <x:c r="A6" s="40" t="str">
        <x:v>GIC</x:v>
      </x:c>
      <x:c r="B6" s="32" t="str">
        <x:v>Capital preservation with a defined timeline</x:v>
      </x:c>
      <x:c r="C6" s="32" t="str">
        <x:v>When will funds be needed and how much access is required?</x:v>
      </x:c>
      <x:c r="D6" s="32" t="str">
        <x:v>Confirm term, redemption conditions, and applicable coverage.</x:v>
      </x:c>
    </x:row>
    <x:row r="7" ht="54" customHeight="1">
      <x:c r="A7" s="40" t="str">
        <x:v>TFSA</x:v>
      </x:c>
      <x:c r="B7" s="32" t="str">
        <x:v>Flexible tax-free saving</x:v>
      </x:c>
      <x:c r="C7" s="32" t="str">
        <x:v>What is the client's verified available contribution room?</x:v>
      </x:c>
      <x:c r="D7" s="32" t="str">
        <x:v>Verify room using client records and CRA information.</x:v>
      </x:c>
    </x:row>
    <x:row r="8" ht="54" customHeight="1">
      <x:c r="A8" s="40" t="str">
        <x:v>RRSP</x:v>
      </x:c>
      <x:c r="B8" s="32" t="str">
        <x:v>Long-term retirement saving</x:v>
      </x:c>
      <x:c r="C8" s="32" t="str">
        <x:v>What are the client's goals, income context, pension, and verified room?</x:v>
      </x:c>
      <x:c r="D8" s="32" t="str">
        <x:v>Verify deduction limit, pension adjustment, and withdrawal implications.</x:v>
      </x:c>
    </x:row>
    <x:row r="9" ht="54" customHeight="1">
      <x:c r="A9" s="40" t="str">
        <x:v>FHSA</x:v>
      </x:c>
      <x:c r="B9" s="32" t="str">
        <x:v>Eligible first-home saving</x:v>
      </x:c>
      <x:c r="C9" s="32" t="str">
        <x:v>Does the client meet current first-time-buyer and account eligibility rules?</x:v>
      </x:c>
      <x:c r="D9" s="32" t="str">
        <x:v>Verify eligibility, participation room, and qualifying-withdrawal rules.</x:v>
      </x:c>
    </x:row>
    <x:row r="11">
      <x:c r="A11" s="43" t="str">
        <x:v>Reference values in the web tool are educational starting points. Always verify current CRA rules, individual room, bank procedures, and product terms before any action.</x:v>
      </x:c>
    </x:row>
  </x:sheetData>
  <x:mergeCells>
    <x:mergeCell ref="A1:D2"/>
    <x:mergeCell ref="A11:D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18" hidden="0" customWidth="1"/>
    <x:col min="4" max="4" width="24" hidden="0" customWidth="1"/>
    <x:col min="5" max="5" width="18" hidden="0" customWidth="1"/>
    <x:col min="6" max="6" width="16" hidden="0" customWidth="1"/>
    <x:col min="7" max="7" width="18" hidden="0" customWidth="1"/>
    <x:col min="8" max="8" width="30" hidden="0" customWidth="1"/>
  </x:cols>
  <x:sheetData>
    <x:row r="1" ht="34" customHeight="1">
      <x:c r="A1" s="3" t="str">
        <x:v>Synthetic Sample Scenarios</x:v>
      </x:c>
    </x:row>
    <x:row r="2" ht="34" customHeight="1"/>
    <x:row r="4">
      <x:c r="A4" s="39" t="str">
        <x:v>Profile ID</x:v>
      </x:c>
      <x:c r="B4" s="39" t="str">
        <x:v>Age</x:v>
      </x:c>
      <x:c r="C4" s="39" t="str">
        <x:v>Annual income</x:v>
      </x:c>
      <x:c r="D4" s="39" t="str">
        <x:v>Primary goal</x:v>
      </x:c>
      <x:c r="E4" s="39" t="str">
        <x:v>Target amount</x:v>
      </x:c>
      <x:c r="F4" s="39" t="str">
        <x:v>Horizon years</x:v>
      </x:c>
      <x:c r="G4" s="39" t="str">
        <x:v>Risk preference</x:v>
      </x:c>
      <x:c r="H4" s="39" t="str">
        <x:v>Notes</x:v>
      </x:c>
    </x:row>
    <x:row r="5">
      <x:c r="A5" s="45" t="str">
        <x:v>SYN-001</x:v>
      </x:c>
      <x:c r="B5" s="30" t="n">
        <x:v>27</x:v>
      </x:c>
      <x:c r="C5" s="46" t="n">
        <x:v>52000</x:v>
      </x:c>
      <x:c r="D5" s="30" t="str">
        <x:v>First home</x:v>
      </x:c>
      <x:c r="E5" s="46" t="n">
        <x:v>25000</x:v>
      </x:c>
      <x:c r="F5" s="30" t="n">
        <x:v>3</x:v>
      </x:c>
      <x:c r="G5" s="30" t="str">
        <x:v>Moderate</x:v>
      </x:c>
      <x:c r="H5" s="30" t="str">
        <x:v>Synthetic training profile</x:v>
      </x:c>
    </x:row>
    <x:row r="6">
      <x:c r="A6" s="45" t="str">
        <x:v>SYN-002</x:v>
      </x:c>
      <x:c r="B6" s="30" t="n">
        <x:v>34</x:v>
      </x:c>
      <x:c r="C6" s="46" t="n">
        <x:v>76000</x:v>
      </x:c>
      <x:c r="D6" s="30" t="str">
        <x:v>Retirement</x:v>
      </x:c>
      <x:c r="E6" s="46" t="n">
        <x:v>0</x:v>
      </x:c>
      <x:c r="F6" s="30" t="n">
        <x:v>25</x:v>
      </x:c>
      <x:c r="G6" s="30" t="str">
        <x:v>Growth</x:v>
      </x:c>
      <x:c r="H6" s="30" t="str">
        <x:v>Synthetic training profile</x:v>
      </x:c>
    </x:row>
    <x:row r="7">
      <x:c r="A7" s="45" t="str">
        <x:v>SYN-003</x:v>
      </x:c>
      <x:c r="B7" s="30" t="n">
        <x:v>42</x:v>
      </x:c>
      <x:c r="C7" s="46" t="n">
        <x:v>64000</x:v>
      </x:c>
      <x:c r="D7" s="30" t="str">
        <x:v>Emergency fund</x:v>
      </x:c>
      <x:c r="E7" s="46" t="n">
        <x:v>12000</x:v>
      </x:c>
      <x:c r="F7" s="30" t="n">
        <x:v>1</x:v>
      </x:c>
      <x:c r="G7" s="30" t="str">
        <x:v>Conservative</x:v>
      </x:c>
      <x:c r="H7" s="30" t="str">
        <x:v>Synthetic training profile</x:v>
      </x:c>
    </x:row>
    <x:row r="8">
      <x:c r="A8" s="45" t="str">
        <x:v>SYN-004</x:v>
      </x:c>
      <x:c r="B8" s="30" t="n">
        <x:v>29</x:v>
      </x:c>
      <x:c r="C8" s="46" t="n">
        <x:v>48000</x:v>
      </x:c>
      <x:c r="D8" s="30" t="str">
        <x:v>Short-term purchase</x:v>
      </x:c>
      <x:c r="E8" s="46" t="n">
        <x:v>9000</x:v>
      </x:c>
      <x:c r="F8" s="30" t="n">
        <x:v>2</x:v>
      </x:c>
      <x:c r="G8" s="30" t="str">
        <x:v>Moderate</x:v>
      </x:c>
      <x:c r="H8" s="30" t="str">
        <x:v>Synthetic training profile</x:v>
      </x:c>
    </x:row>
    <x:row r="9">
      <x:c r="A9" s="45" t="str">
        <x:v>SYN-005</x:v>
      </x:c>
      <x:c r="B9" s="30" t="n">
        <x:v>55</x:v>
      </x:c>
      <x:c r="C9" s="46" t="n">
        <x:v>92000</x:v>
      </x:c>
      <x:c r="D9" s="30" t="str">
        <x:v>General wealth building</x:v>
      </x:c>
      <x:c r="E9" s="46" t="n">
        <x:v>0</x:v>
      </x:c>
      <x:c r="F9" s="30" t="n">
        <x:v>10</x:v>
      </x:c>
      <x:c r="G9" s="30" t="str">
        <x:v>Conservative</x:v>
      </x:c>
      <x:c r="H9" s="30" t="str">
        <x:v>Synthetic training profile</x:v>
      </x:c>
    </x:row>
  </x:sheetData>
  <x:mergeCells>
    <x:mergeCell ref="A1:H2"/>
  </x:mergeCells>
  <x:pageMargins left="0.7" right="0.7" top="0.75" bottom="0.75" header="0.3" footer="0.3"/>
</x:worksheet>
</file>