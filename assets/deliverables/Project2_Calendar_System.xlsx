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Master Calendar Log" sheetId="1" state="visible" r:id="rId3"/>
    <sheet name="02 Meeting Type Templates" sheetId="2" state="visible" r:id="rId4"/>
    <sheet name="03 Stakeholder Priority Matrix" sheetId="3" state="visible" r:id="rId5"/>
    <sheet name="04 Time Zone Reference" sheetId="4" state="visible" r:id="rId6"/>
    <sheet name="05 Executive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<sst xmlns="http://schemas.openxmlformats.org/spreadsheetml/2006/main" count="309" uniqueCount="196">
  <si>
    <t xml:space="preserve">EXECUTIVE MASTER CALENDAR LOG — FACT TABLE</t>
  </si>
  <si>
    <t xml:space="preserve">Project 2: Executive Calendar Architecture &amp; Multi-Stakeholder Scheduling Operations System</t>
  </si>
  <si>
    <t xml:space="preserve">Meeting ID</t>
  </si>
  <si>
    <t xml:space="preserve">Date</t>
  </si>
  <si>
    <t xml:space="preserve">Day</t>
  </si>
  <si>
    <t xml:space="preserve">Meeting Type ID</t>
  </si>
  <si>
    <t xml:space="preserve">Meeting Title</t>
  </si>
  <si>
    <t xml:space="preserve">Stakeholder Tier</t>
  </si>
  <si>
    <t xml:space="preserve">Duration (min)</t>
  </si>
  <si>
    <t xml:space="preserve">Prep Block (Y/N)</t>
  </si>
  <si>
    <t xml:space="preserve">Post-Note (Y/N)</t>
  </si>
  <si>
    <t xml:space="preserve">Outcome</t>
  </si>
  <si>
    <t xml:space="preserve">Timezone</t>
  </si>
  <si>
    <t xml:space="preserve">MTG-001</t>
  </si>
  <si>
    <t xml:space="preserve">2026-06-01</t>
  </si>
  <si>
    <t xml:space="preserve">Monday</t>
  </si>
  <si>
    <t xml:space="preserve">MT-01</t>
  </si>
  <si>
    <t xml:space="preserve">Q2 Strategy Review — Apex Corp</t>
  </si>
  <si>
    <t xml:space="preserve">Tier 1</t>
  </si>
  <si>
    <t xml:space="preserve">Y</t>
  </si>
  <si>
    <t xml:space="preserve">Action items sent</t>
  </si>
  <si>
    <t xml:space="preserve">EST</t>
  </si>
  <si>
    <t xml:space="preserve">MTG-002</t>
  </si>
  <si>
    <t xml:space="preserve">MT-03</t>
  </si>
  <si>
    <t xml:space="preserve">Weekly Team Standup</t>
  </si>
  <si>
    <t xml:space="preserve">Internal</t>
  </si>
  <si>
    <t xml:space="preserve">N</t>
  </si>
  <si>
    <t xml:space="preserve">Completed</t>
  </si>
  <si>
    <t xml:space="preserve">MTG-003</t>
  </si>
  <si>
    <t xml:space="preserve">2026-06-02</t>
  </si>
  <si>
    <t xml:space="preserve">Tuesday</t>
  </si>
  <si>
    <t xml:space="preserve">MT-02</t>
  </si>
  <si>
    <t xml:space="preserve">Budget Planning Session — Finance</t>
  </si>
  <si>
    <t xml:space="preserve">Follow-up scheduled</t>
  </si>
  <si>
    <t xml:space="preserve">MTG-004</t>
  </si>
  <si>
    <t xml:space="preserve">2026-06-03</t>
  </si>
  <si>
    <t xml:space="preserve">Wednesday</t>
  </si>
  <si>
    <t xml:space="preserve">Contract Negotiation — Meridian Ltd</t>
  </si>
  <si>
    <t xml:space="preserve">Proposal sent</t>
  </si>
  <si>
    <t xml:space="preserve">GMT</t>
  </si>
  <si>
    <t xml:space="preserve">MTG-005</t>
  </si>
  <si>
    <t xml:space="preserve">2026-06-04</t>
  </si>
  <si>
    <t xml:space="preserve">Thursday</t>
  </si>
  <si>
    <t xml:space="preserve">MT-04</t>
  </si>
  <si>
    <t xml:space="preserve">Strategic Planning Block</t>
  </si>
  <si>
    <t xml:space="preserve">MTG-006</t>
  </si>
  <si>
    <t xml:space="preserve">2026-06-05</t>
  </si>
  <si>
    <t xml:space="preserve">Friday</t>
  </si>
  <si>
    <t xml:space="preserve">Department Head Sync</t>
  </si>
  <si>
    <t xml:space="preserve">Minutes distributed</t>
  </si>
  <si>
    <t xml:space="preserve">MTG-007</t>
  </si>
  <si>
    <t xml:space="preserve">2026-06-08</t>
  </si>
  <si>
    <t xml:space="preserve">Client Onboarding — Nova Partners</t>
  </si>
  <si>
    <t xml:space="preserve">Tier 2</t>
  </si>
  <si>
    <t xml:space="preserve">Onboarding complete</t>
  </si>
  <si>
    <t xml:space="preserve">PST</t>
  </si>
  <si>
    <t xml:space="preserve">MTG-008</t>
  </si>
  <si>
    <t xml:space="preserve">2026-06-09</t>
  </si>
  <si>
    <t xml:space="preserve">MTG-009</t>
  </si>
  <si>
    <t xml:space="preserve">2026-06-10</t>
  </si>
  <si>
    <t xml:space="preserve">Quarterly Review — Tier 1 Portfolio</t>
  </si>
  <si>
    <t xml:space="preserve">Report shared</t>
  </si>
  <si>
    <t xml:space="preserve">MTG-010</t>
  </si>
  <si>
    <t xml:space="preserve">2026-06-11</t>
  </si>
  <si>
    <t xml:space="preserve">HR Policy Update Briefing</t>
  </si>
  <si>
    <t xml:space="preserve">Policy approved</t>
  </si>
  <si>
    <t xml:space="preserve">MTG-011</t>
  </si>
  <si>
    <t xml:space="preserve">2026-06-12</t>
  </si>
  <si>
    <t xml:space="preserve">MTG-012</t>
  </si>
  <si>
    <t xml:space="preserve">2026-06-15</t>
  </si>
  <si>
    <t xml:space="preserve">New Business Pitch — Zenith Inc</t>
  </si>
  <si>
    <t xml:space="preserve">Proposal requested</t>
  </si>
  <si>
    <t xml:space="preserve">CST</t>
  </si>
  <si>
    <t xml:space="preserve">MTG-013</t>
  </si>
  <si>
    <t xml:space="preserve">2026-06-16</t>
  </si>
  <si>
    <t xml:space="preserve">MTG-014</t>
  </si>
  <si>
    <t xml:space="preserve">2026-06-17</t>
  </si>
  <si>
    <t xml:space="preserve">Operations Review Q2</t>
  </si>
  <si>
    <t xml:space="preserve">Action plan created</t>
  </si>
  <si>
    <t xml:space="preserve">MTG-015</t>
  </si>
  <si>
    <t xml:space="preserve">2026-06-18</t>
  </si>
  <si>
    <t xml:space="preserve">Account Check-In — Apex Corp</t>
  </si>
  <si>
    <t xml:space="preserve">Relationship maintained</t>
  </si>
  <si>
    <t xml:space="preserve">TOTAL MEETINGS LOGGED</t>
  </si>
  <si>
    <t xml:space="preserve">Star Schema: This Fact Table links to Dimension Tables via Meeting Type ID, Stakeholder Tier, and Timezone. See sheets 02-04.</t>
  </si>
  <si>
    <t xml:space="preserve">DIMENSION TABLE 1: MEETING TYPE TEMPLATE DIRECTORY</t>
  </si>
  <si>
    <t xml:space="preserve">Links to Master Calendar Log via Meeting Type ID</t>
  </si>
  <si>
    <t xml:space="preserve">Type ID</t>
  </si>
  <si>
    <t xml:space="preserve">Meeting Name</t>
  </si>
  <si>
    <t xml:space="preserve">Color Code</t>
  </si>
  <si>
    <t xml:space="preserve">Duration Cap</t>
  </si>
  <si>
    <t xml:space="preserve">Prep Required</t>
  </si>
  <si>
    <t xml:space="preserve">Buffer After</t>
  </si>
  <si>
    <t xml:space="preserve">Standard Agenda Items</t>
  </si>
  <si>
    <t xml:space="preserve">Client-Facing / External</t>
  </si>
  <si>
    <t xml:space="preserve">Green</t>
  </si>
  <si>
    <t xml:space="preserve">90 min max</t>
  </si>
  <si>
    <t xml:space="preserve">15 min before</t>
  </si>
  <si>
    <t xml:space="preserve">10 min after</t>
  </si>
  <si>
    <t xml:space="preserve">1. Welcome &amp; introductions  2. Agenda review  3. Business discussion  4. Action items  5. Next steps</t>
  </si>
  <si>
    <t xml:space="preserve">Internal Review / Team</t>
  </si>
  <si>
    <t xml:space="preserve">Blue</t>
  </si>
  <si>
    <t xml:space="preserve">45 min max</t>
  </si>
  <si>
    <t xml:space="preserve">10 min before</t>
  </si>
  <si>
    <t xml:space="preserve">5 min after</t>
  </si>
  <si>
    <t xml:space="preserve">1. Status updates  2. Blockers  3. Decisions required  4. Action assignments  5. Close</t>
  </si>
  <si>
    <t xml:space="preserve">Weekly Standup</t>
  </si>
  <si>
    <t xml:space="preserve">Yellow</t>
  </si>
  <si>
    <t xml:space="preserve">30 min max</t>
  </si>
  <si>
    <t xml:space="preserve">None</t>
  </si>
  <si>
    <t xml:space="preserve">1. What did I complete?  2. What am I working on?  3. Any blockers?</t>
  </si>
  <si>
    <t xml:space="preserve">Purple</t>
  </si>
  <si>
    <t xml:space="preserve">3 hrs max</t>
  </si>
  <si>
    <t xml:space="preserve">None — protected time</t>
  </si>
  <si>
    <t xml:space="preserve">No agenda — deep work session. Do not schedule other meetings on this day.</t>
  </si>
  <si>
    <t xml:space="preserve">DIMENSION TABLE 2: STAKEHOLDER PRIORITY MATRIX</t>
  </si>
  <si>
    <t xml:space="preserve">Links to Master Calendar Log via Stakeholder Tier</t>
  </si>
  <si>
    <t xml:space="preserve">Tier</t>
  </si>
  <si>
    <t xml:space="preserve">Description</t>
  </si>
  <si>
    <t xml:space="preserve">Response SLA</t>
  </si>
  <si>
    <t xml:space="preserve">Can Self-Book?</t>
  </si>
  <si>
    <t xml:space="preserve">Calendly Link Type</t>
  </si>
  <si>
    <t xml:space="preserve">Escalate if No-Show?</t>
  </si>
  <si>
    <t xml:space="preserve">Top-tier clients, board members, C-suite partners</t>
  </si>
  <si>
    <t xml:space="preserve">Same day</t>
  </si>
  <si>
    <t xml:space="preserve">YES</t>
  </si>
  <si>
    <t xml:space="preserve">External Client Link</t>
  </si>
  <si>
    <t xml:space="preserve">YES — notify team lead within 1 hour</t>
  </si>
  <si>
    <t xml:space="preserve">Mid-level clients, key vendors, senior contacts</t>
  </si>
  <si>
    <t xml:space="preserve">Within 24 hrs</t>
  </si>
  <si>
    <t xml:space="preserve">YES — reschedule within same day</t>
  </si>
  <si>
    <t xml:space="preserve">Tier 3</t>
  </si>
  <si>
    <t xml:space="preserve">General clients, prospective accounts</t>
  </si>
  <si>
    <t xml:space="preserve">Within 48 hrs</t>
  </si>
  <si>
    <t xml:space="preserve">Standard Public Link</t>
  </si>
  <si>
    <t xml:space="preserve">NO — send reschedule email</t>
  </si>
  <si>
    <t xml:space="preserve">Staff, team leads, department heads</t>
  </si>
  <si>
    <t xml:space="preserve">Internal Team Link</t>
  </si>
  <si>
    <t xml:space="preserve">NO — reschedule at next available slot</t>
  </si>
  <si>
    <t xml:space="preserve">DIMENSION TABLE 3: TIME ZONE CONVERSION REFERENCE</t>
  </si>
  <si>
    <t xml:space="preserve">Links to Master Calendar Log via Timezone field</t>
  </si>
  <si>
    <t xml:space="preserve">Code</t>
  </si>
  <si>
    <t xml:space="preserve">Full Name</t>
  </si>
  <si>
    <t xml:space="preserve">UTC Offset</t>
  </si>
  <si>
    <t xml:space="preserve">Business Hours (Local)</t>
  </si>
  <si>
    <t xml:space="preserve">EST Equivalent</t>
  </si>
  <si>
    <t xml:space="preserve">Key Contacts</t>
  </si>
  <si>
    <t xml:space="preserve">Eastern Standard Time</t>
  </si>
  <si>
    <t xml:space="preserve">UTC-5</t>
  </si>
  <si>
    <t xml:space="preserve">9:00 AM – 5:00 PM</t>
  </si>
  <si>
    <t xml:space="preserve">Head office, most internal staff</t>
  </si>
  <si>
    <t xml:space="preserve">Central Standard Time</t>
  </si>
  <si>
    <t xml:space="preserve">UTC-6</t>
  </si>
  <si>
    <t xml:space="preserve">10:00 AM – 6:00 PM</t>
  </si>
  <si>
    <t xml:space="preserve">Zenith Inc., Midwest clients</t>
  </si>
  <si>
    <t xml:space="preserve">MST</t>
  </si>
  <si>
    <t xml:space="preserve">Mountain Standard Time</t>
  </si>
  <si>
    <t xml:space="preserve">UTC-7</t>
  </si>
  <si>
    <t xml:space="preserve">11:00 AM – 7:00 PM</t>
  </si>
  <si>
    <t xml:space="preserve">Denver office contacts</t>
  </si>
  <si>
    <t xml:space="preserve">Pacific Standard Time</t>
  </si>
  <si>
    <t xml:space="preserve">UTC-8</t>
  </si>
  <si>
    <t xml:space="preserve">12:00 PM – 8:00 PM</t>
  </si>
  <si>
    <t xml:space="preserve">Nova Partners, West Coast accounts</t>
  </si>
  <si>
    <t xml:space="preserve">Greenwich Mean Time</t>
  </si>
  <si>
    <t xml:space="preserve">UTC+0</t>
  </si>
  <si>
    <t xml:space="preserve">4:00 AM – 12:00 PM</t>
  </si>
  <si>
    <t xml:space="preserve">Meridian Ltd., UK-based clients</t>
  </si>
  <si>
    <t xml:space="preserve">CET</t>
  </si>
  <si>
    <t xml:space="preserve">Central European Time</t>
  </si>
  <si>
    <t xml:space="preserve">UTC+1</t>
  </si>
  <si>
    <t xml:space="preserve">3:00 AM – 11:00 AM</t>
  </si>
  <si>
    <t xml:space="preserve">European partners</t>
  </si>
  <si>
    <t xml:space="preserve">IST</t>
  </si>
  <si>
    <t xml:space="preserve">India Standard Time</t>
  </si>
  <si>
    <t xml:space="preserve">UTC+5:30</t>
  </si>
  <si>
    <t xml:space="preserve">9:00 AM – 6:00 PM</t>
  </si>
  <si>
    <t xml:space="preserve">10:30 PM – 7:30 AM</t>
  </si>
  <si>
    <t xml:space="preserve">Offshore dev team</t>
  </si>
  <si>
    <t xml:space="preserve">EXECUTIVE CALENDAR DASHBOARD — SCHEDULING PERFORMANCE OVERVIEW</t>
  </si>
  <si>
    <t xml:space="preserve">Source: Master Calendar Log  |  Period: June 2026  |  Executive: Souravdeep Singh</t>
  </si>
  <si>
    <t xml:space="preserve">TOTAL MEETINGS (JUNE)</t>
  </si>
  <si>
    <t xml:space="preserve">CLIENT-FACING MEETINGS</t>
  </si>
  <si>
    <t xml:space="preserve">TOTAL MEETING HOURS</t>
  </si>
  <si>
    <t xml:space="preserve">MEETINGS BY TYPE</t>
  </si>
  <si>
    <t xml:space="preserve">PREP BLOCK COMPLIANCE</t>
  </si>
  <si>
    <t xml:space="preserve">Count</t>
  </si>
  <si>
    <t xml:space="preserve">Total Min</t>
  </si>
  <si>
    <t xml:space="preserve">% of Total</t>
  </si>
  <si>
    <t xml:space="preserve">Status</t>
  </si>
  <si>
    <t xml:space="preserve">% Total</t>
  </si>
  <si>
    <t xml:space="preserve">Client-Facing</t>
  </si>
  <si>
    <t xml:space="preserve">Prep Scheduled (Y)</t>
  </si>
  <si>
    <t xml:space="preserve">Internal Review</t>
  </si>
  <si>
    <t xml:space="preserve">No Prep Block (N)</t>
  </si>
  <si>
    <t xml:space="preserve">Strategic Planning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</si>
</sst>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2"/>
      <color rgb="FF1F4E79"/>
      <name val="Arial"/>
      <family val="0"/>
      <charset val="1"/>
    </font>
    <font>
      <b val="true"/>
      <sz val="22"/>
      <color rgb="FF2E75B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8D5F5"/>
        <bgColor rgb="FFDEEAF1"/>
      </patternFill>
    </fill>
    <fill>
      <patternFill patternType="solid">
        <fgColor rgb="FFBDD7EE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E8D5F5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8" hidden="false" customHeight="true" outlineLevel="0" collapsed="false">
      <c r="A5" s="4" t="s">
        <v>13</v>
      </c>
      <c r="B5" s="4" t="s">
        <v>14</v>
      </c>
      <c r="C5" s="4" t="s">
        <v>15</v>
      </c>
      <c r="D5" s="5" t="s">
        <v>16</v>
      </c>
      <c r="E5" s="6" t="s">
        <v>17</v>
      </c>
      <c r="F5" s="5" t="s">
        <v>18</v>
      </c>
      <c r="G5" s="4" t="n">
        <v>60</v>
      </c>
      <c r="H5" s="5" t="s">
        <v>19</v>
      </c>
      <c r="I5" s="5" t="s">
        <v>19</v>
      </c>
      <c r="J5" s="6" t="s">
        <v>20</v>
      </c>
      <c r="K5" s="4" t="s">
        <v>21</v>
      </c>
    </row>
    <row r="6" customFormat="false" ht="18" hidden="false" customHeight="true" outlineLevel="0" collapsed="false">
      <c r="A6" s="7" t="s">
        <v>22</v>
      </c>
      <c r="B6" s="7" t="s">
        <v>14</v>
      </c>
      <c r="C6" s="7" t="s">
        <v>15</v>
      </c>
      <c r="D6" s="8" t="s">
        <v>23</v>
      </c>
      <c r="E6" s="9" t="s">
        <v>24</v>
      </c>
      <c r="F6" s="10" t="s">
        <v>25</v>
      </c>
      <c r="G6" s="7" t="n">
        <v>30</v>
      </c>
      <c r="H6" s="11" t="s">
        <v>26</v>
      </c>
      <c r="I6" s="5" t="s">
        <v>19</v>
      </c>
      <c r="J6" s="9" t="s">
        <v>27</v>
      </c>
      <c r="K6" s="7" t="s">
        <v>21</v>
      </c>
    </row>
    <row r="7" customFormat="false" ht="18" hidden="false" customHeight="true" outlineLevel="0" collapsed="false">
      <c r="A7" s="4" t="s">
        <v>28</v>
      </c>
      <c r="B7" s="4" t="s">
        <v>29</v>
      </c>
      <c r="C7" s="4" t="s">
        <v>30</v>
      </c>
      <c r="D7" s="10" t="s">
        <v>31</v>
      </c>
      <c r="E7" s="6" t="s">
        <v>32</v>
      </c>
      <c r="F7" s="10" t="s">
        <v>25</v>
      </c>
      <c r="G7" s="4" t="n">
        <v>45</v>
      </c>
      <c r="H7" s="5" t="s">
        <v>19</v>
      </c>
      <c r="I7" s="5" t="s">
        <v>19</v>
      </c>
      <c r="J7" s="6" t="s">
        <v>33</v>
      </c>
      <c r="K7" s="4" t="s">
        <v>21</v>
      </c>
    </row>
    <row r="8" customFormat="false" ht="18" hidden="false" customHeight="true" outlineLevel="0" collapsed="false">
      <c r="A8" s="7" t="s">
        <v>34</v>
      </c>
      <c r="B8" s="7" t="s">
        <v>35</v>
      </c>
      <c r="C8" s="7" t="s">
        <v>36</v>
      </c>
      <c r="D8" s="5" t="s">
        <v>16</v>
      </c>
      <c r="E8" s="9" t="s">
        <v>37</v>
      </c>
      <c r="F8" s="5" t="s">
        <v>18</v>
      </c>
      <c r="G8" s="7" t="n">
        <v>90</v>
      </c>
      <c r="H8" s="5" t="s">
        <v>19</v>
      </c>
      <c r="I8" s="5" t="s">
        <v>19</v>
      </c>
      <c r="J8" s="9" t="s">
        <v>38</v>
      </c>
      <c r="K8" s="7" t="s">
        <v>39</v>
      </c>
    </row>
    <row r="9" customFormat="false" ht="18" hidden="false" customHeight="true" outlineLevel="0" collapsed="false">
      <c r="A9" s="4" t="s">
        <v>40</v>
      </c>
      <c r="B9" s="4" t="s">
        <v>41</v>
      </c>
      <c r="C9" s="4" t="s">
        <v>42</v>
      </c>
      <c r="D9" s="12" t="s">
        <v>43</v>
      </c>
      <c r="E9" s="6" t="s">
        <v>44</v>
      </c>
      <c r="F9" s="10" t="s">
        <v>25</v>
      </c>
      <c r="G9" s="4" t="n">
        <v>120</v>
      </c>
      <c r="H9" s="11" t="s">
        <v>26</v>
      </c>
      <c r="I9" s="11" t="s">
        <v>26</v>
      </c>
      <c r="J9" s="6" t="s">
        <v>27</v>
      </c>
      <c r="K9" s="4" t="s">
        <v>21</v>
      </c>
    </row>
    <row r="10" customFormat="false" ht="18" hidden="false" customHeight="true" outlineLevel="0" collapsed="false">
      <c r="A10" s="7" t="s">
        <v>45</v>
      </c>
      <c r="B10" s="7" t="s">
        <v>46</v>
      </c>
      <c r="C10" s="7" t="s">
        <v>47</v>
      </c>
      <c r="D10" s="10" t="s">
        <v>31</v>
      </c>
      <c r="E10" s="9" t="s">
        <v>48</v>
      </c>
      <c r="F10" s="10" t="s">
        <v>25</v>
      </c>
      <c r="G10" s="7" t="n">
        <v>45</v>
      </c>
      <c r="H10" s="5" t="s">
        <v>19</v>
      </c>
      <c r="I10" s="5" t="s">
        <v>19</v>
      </c>
      <c r="J10" s="9" t="s">
        <v>49</v>
      </c>
      <c r="K10" s="7" t="s">
        <v>21</v>
      </c>
    </row>
    <row r="11" customFormat="false" ht="18" hidden="false" customHeight="true" outlineLevel="0" collapsed="false">
      <c r="A11" s="4" t="s">
        <v>50</v>
      </c>
      <c r="B11" s="4" t="s">
        <v>51</v>
      </c>
      <c r="C11" s="4" t="s">
        <v>15</v>
      </c>
      <c r="D11" s="5" t="s">
        <v>16</v>
      </c>
      <c r="E11" s="6" t="s">
        <v>52</v>
      </c>
      <c r="F11" s="8" t="s">
        <v>53</v>
      </c>
      <c r="G11" s="4" t="n">
        <v>60</v>
      </c>
      <c r="H11" s="5" t="s">
        <v>19</v>
      </c>
      <c r="I11" s="5" t="s">
        <v>19</v>
      </c>
      <c r="J11" s="6" t="s">
        <v>54</v>
      </c>
      <c r="K11" s="4" t="s">
        <v>55</v>
      </c>
    </row>
    <row r="12" customFormat="false" ht="18" hidden="false" customHeight="true" outlineLevel="0" collapsed="false">
      <c r="A12" s="7" t="s">
        <v>56</v>
      </c>
      <c r="B12" s="7" t="s">
        <v>57</v>
      </c>
      <c r="C12" s="7" t="s">
        <v>30</v>
      </c>
      <c r="D12" s="8" t="s">
        <v>23</v>
      </c>
      <c r="E12" s="9" t="s">
        <v>24</v>
      </c>
      <c r="F12" s="10" t="s">
        <v>25</v>
      </c>
      <c r="G12" s="7" t="n">
        <v>30</v>
      </c>
      <c r="H12" s="11" t="s">
        <v>26</v>
      </c>
      <c r="I12" s="5" t="s">
        <v>19</v>
      </c>
      <c r="J12" s="9" t="s">
        <v>27</v>
      </c>
      <c r="K12" s="7" t="s">
        <v>21</v>
      </c>
    </row>
    <row r="13" customFormat="false" ht="18" hidden="false" customHeight="true" outlineLevel="0" collapsed="false">
      <c r="A13" s="4" t="s">
        <v>58</v>
      </c>
      <c r="B13" s="4" t="s">
        <v>59</v>
      </c>
      <c r="C13" s="4" t="s">
        <v>36</v>
      </c>
      <c r="D13" s="5" t="s">
        <v>16</v>
      </c>
      <c r="E13" s="6" t="s">
        <v>60</v>
      </c>
      <c r="F13" s="5" t="s">
        <v>18</v>
      </c>
      <c r="G13" s="4" t="n">
        <v>90</v>
      </c>
      <c r="H13" s="5" t="s">
        <v>19</v>
      </c>
      <c r="I13" s="5" t="s">
        <v>19</v>
      </c>
      <c r="J13" s="6" t="s">
        <v>61</v>
      </c>
      <c r="K13" s="4" t="s">
        <v>21</v>
      </c>
    </row>
    <row r="14" customFormat="false" ht="18" hidden="false" customHeight="true" outlineLevel="0" collapsed="false">
      <c r="A14" s="7" t="s">
        <v>62</v>
      </c>
      <c r="B14" s="7" t="s">
        <v>63</v>
      </c>
      <c r="C14" s="7" t="s">
        <v>42</v>
      </c>
      <c r="D14" s="10" t="s">
        <v>31</v>
      </c>
      <c r="E14" s="9" t="s">
        <v>64</v>
      </c>
      <c r="F14" s="10" t="s">
        <v>25</v>
      </c>
      <c r="G14" s="7" t="n">
        <v>45</v>
      </c>
      <c r="H14" s="5" t="s">
        <v>19</v>
      </c>
      <c r="I14" s="11" t="s">
        <v>26</v>
      </c>
      <c r="J14" s="9" t="s">
        <v>65</v>
      </c>
      <c r="K14" s="7" t="s">
        <v>21</v>
      </c>
    </row>
    <row r="15" customFormat="false" ht="18" hidden="false" customHeight="true" outlineLevel="0" collapsed="false">
      <c r="A15" s="4" t="s">
        <v>66</v>
      </c>
      <c r="B15" s="4" t="s">
        <v>67</v>
      </c>
      <c r="C15" s="4" t="s">
        <v>47</v>
      </c>
      <c r="D15" s="12" t="s">
        <v>43</v>
      </c>
      <c r="E15" s="6" t="s">
        <v>44</v>
      </c>
      <c r="F15" s="10" t="s">
        <v>25</v>
      </c>
      <c r="G15" s="4" t="n">
        <v>120</v>
      </c>
      <c r="H15" s="11" t="s">
        <v>26</v>
      </c>
      <c r="I15" s="11" t="s">
        <v>26</v>
      </c>
      <c r="J15" s="6" t="s">
        <v>27</v>
      </c>
      <c r="K15" s="4" t="s">
        <v>21</v>
      </c>
    </row>
    <row r="16" customFormat="false" ht="18" hidden="false" customHeight="true" outlineLevel="0" collapsed="false">
      <c r="A16" s="7" t="s">
        <v>68</v>
      </c>
      <c r="B16" s="7" t="s">
        <v>69</v>
      </c>
      <c r="C16" s="7" t="s">
        <v>15</v>
      </c>
      <c r="D16" s="5" t="s">
        <v>16</v>
      </c>
      <c r="E16" s="9" t="s">
        <v>70</v>
      </c>
      <c r="F16" s="5" t="s">
        <v>18</v>
      </c>
      <c r="G16" s="7" t="n">
        <v>60</v>
      </c>
      <c r="H16" s="5" t="s">
        <v>19</v>
      </c>
      <c r="I16" s="5" t="s">
        <v>19</v>
      </c>
      <c r="J16" s="9" t="s">
        <v>71</v>
      </c>
      <c r="K16" s="7" t="s">
        <v>72</v>
      </c>
    </row>
    <row r="17" customFormat="false" ht="18" hidden="false" customHeight="true" outlineLevel="0" collapsed="false">
      <c r="A17" s="4" t="s">
        <v>73</v>
      </c>
      <c r="B17" s="4" t="s">
        <v>74</v>
      </c>
      <c r="C17" s="4" t="s">
        <v>30</v>
      </c>
      <c r="D17" s="8" t="s">
        <v>23</v>
      </c>
      <c r="E17" s="6" t="s">
        <v>24</v>
      </c>
      <c r="F17" s="10" t="s">
        <v>25</v>
      </c>
      <c r="G17" s="4" t="n">
        <v>30</v>
      </c>
      <c r="H17" s="11" t="s">
        <v>26</v>
      </c>
      <c r="I17" s="5" t="s">
        <v>19</v>
      </c>
      <c r="J17" s="6" t="s">
        <v>27</v>
      </c>
      <c r="K17" s="4" t="s">
        <v>21</v>
      </c>
    </row>
    <row r="18" customFormat="false" ht="18" hidden="false" customHeight="true" outlineLevel="0" collapsed="false">
      <c r="A18" s="7" t="s">
        <v>75</v>
      </c>
      <c r="B18" s="7" t="s">
        <v>76</v>
      </c>
      <c r="C18" s="7" t="s">
        <v>36</v>
      </c>
      <c r="D18" s="10" t="s">
        <v>31</v>
      </c>
      <c r="E18" s="9" t="s">
        <v>77</v>
      </c>
      <c r="F18" s="10" t="s">
        <v>25</v>
      </c>
      <c r="G18" s="7" t="n">
        <v>45</v>
      </c>
      <c r="H18" s="5" t="s">
        <v>19</v>
      </c>
      <c r="I18" s="5" t="s">
        <v>19</v>
      </c>
      <c r="J18" s="9" t="s">
        <v>78</v>
      </c>
      <c r="K18" s="7" t="s">
        <v>21</v>
      </c>
    </row>
    <row r="19" customFormat="false" ht="18" hidden="false" customHeight="true" outlineLevel="0" collapsed="false">
      <c r="A19" s="4" t="s">
        <v>79</v>
      </c>
      <c r="B19" s="4" t="s">
        <v>80</v>
      </c>
      <c r="C19" s="4" t="s">
        <v>42</v>
      </c>
      <c r="D19" s="5" t="s">
        <v>16</v>
      </c>
      <c r="E19" s="6" t="s">
        <v>81</v>
      </c>
      <c r="F19" s="5" t="s">
        <v>18</v>
      </c>
      <c r="G19" s="4" t="n">
        <v>30</v>
      </c>
      <c r="H19" s="5" t="s">
        <v>19</v>
      </c>
      <c r="I19" s="5" t="s">
        <v>19</v>
      </c>
      <c r="J19" s="6" t="s">
        <v>82</v>
      </c>
      <c r="K19" s="4" t="s">
        <v>21</v>
      </c>
    </row>
    <row r="20" customFormat="false" ht="19.5" hidden="false" customHeight="true" outlineLevel="0" collapsed="false">
      <c r="A20" s="13" t="s">
        <v>83</v>
      </c>
      <c r="B20" s="13"/>
      <c r="C20" s="13"/>
      <c r="D20" s="13"/>
      <c r="E20" s="14" t="n">
        <f aca="false">COUNTA(A5:A19)</f>
        <v>15</v>
      </c>
      <c r="F20" s="15"/>
      <c r="G20" s="14" t="n">
        <f aca="false">SUM(G5:G19)</f>
        <v>900</v>
      </c>
      <c r="H20" s="15"/>
      <c r="I20" s="15"/>
      <c r="J20" s="15"/>
      <c r="K20" s="15"/>
    </row>
    <row r="22" customFormat="false" ht="15" hidden="false" customHeight="false" outlineLevel="0" collapsed="false">
      <c r="A22" s="16" t="s">
        <v>84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</sheetData>
  <mergeCells count="4">
    <mergeCell ref="A1:K1"/>
    <mergeCell ref="A2:K2"/>
    <mergeCell ref="A20:D20"/>
    <mergeCell ref="A22:K22"/>
  </mergeCells>
  <dataValidations count="3">
    <dataValidation allowBlank="false" errorStyle="stop" operator="between" showDropDown="false" showErrorMessage="false" showInputMessage="false" sqref="D5:D19" type="list">
      <formula1>"MT-01,MT-02,MT-03,MT-04"</formula1>
      <formula2>0</formula2>
    </dataValidation>
    <dataValidation allowBlank="false" errorStyle="stop" operator="between" showDropDown="false" showErrorMessage="false" showInputMessage="false" sqref="F5:F19" type="list">
      <formula1>"Tier 1,Tier 2,Tier 3,Internal"</formula1>
      <formula2>0</formula2>
    </dataValidation>
    <dataValidation allowBlank="false" errorStyle="stop" operator="between" showDropDown="false" showErrorMessage="false" showInputMessage="false" sqref="H5:I19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6" min="3" style="0" width="14"/>
    <col collapsed="false" customWidth="true" hidden="false" outlineLevel="0" max="7" min="7" style="0" width="42"/>
  </cols>
  <sheetData>
    <row r="1" customFormat="false" ht="30" hidden="false" customHeight="true" outlineLevel="0" collapsed="false">
      <c r="A1" s="1" t="s">
        <v>85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86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</row>
    <row r="5" customFormat="false" ht="39.75" hidden="false" customHeight="true" outlineLevel="0" collapsed="false">
      <c r="A5" s="4" t="s">
        <v>16</v>
      </c>
      <c r="B5" s="4" t="s">
        <v>94</v>
      </c>
      <c r="C5" s="5" t="s">
        <v>95</v>
      </c>
      <c r="D5" s="4" t="s">
        <v>96</v>
      </c>
      <c r="E5" s="4" t="s">
        <v>97</v>
      </c>
      <c r="F5" s="4" t="s">
        <v>98</v>
      </c>
      <c r="G5" s="6" t="s">
        <v>99</v>
      </c>
    </row>
    <row r="6" customFormat="false" ht="39.75" hidden="false" customHeight="true" outlineLevel="0" collapsed="false">
      <c r="A6" s="7" t="s">
        <v>31</v>
      </c>
      <c r="B6" s="7" t="s">
        <v>100</v>
      </c>
      <c r="C6" s="10" t="s">
        <v>101</v>
      </c>
      <c r="D6" s="7" t="s">
        <v>102</v>
      </c>
      <c r="E6" s="7" t="s">
        <v>103</v>
      </c>
      <c r="F6" s="7" t="s">
        <v>104</v>
      </c>
      <c r="G6" s="9" t="s">
        <v>105</v>
      </c>
    </row>
    <row r="7" customFormat="false" ht="39.75" hidden="false" customHeight="true" outlineLevel="0" collapsed="false">
      <c r="A7" s="4" t="s">
        <v>23</v>
      </c>
      <c r="B7" s="4" t="s">
        <v>106</v>
      </c>
      <c r="C7" s="8" t="s">
        <v>107</v>
      </c>
      <c r="D7" s="4" t="s">
        <v>108</v>
      </c>
      <c r="E7" s="4" t="s">
        <v>109</v>
      </c>
      <c r="F7" s="4" t="s">
        <v>104</v>
      </c>
      <c r="G7" s="6" t="s">
        <v>110</v>
      </c>
    </row>
    <row r="8" customFormat="false" ht="39.75" hidden="false" customHeight="true" outlineLevel="0" collapsed="false">
      <c r="A8" s="7" t="s">
        <v>43</v>
      </c>
      <c r="B8" s="7" t="s">
        <v>44</v>
      </c>
      <c r="C8" s="12" t="s">
        <v>111</v>
      </c>
      <c r="D8" s="7" t="s">
        <v>112</v>
      </c>
      <c r="E8" s="7" t="s">
        <v>109</v>
      </c>
      <c r="F8" s="7" t="s">
        <v>113</v>
      </c>
      <c r="G8" s="9" t="s">
        <v>114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115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116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117</v>
      </c>
      <c r="B4" s="3" t="s">
        <v>118</v>
      </c>
      <c r="C4" s="3" t="s">
        <v>119</v>
      </c>
      <c r="D4" s="3" t="s">
        <v>120</v>
      </c>
      <c r="E4" s="3" t="s">
        <v>121</v>
      </c>
      <c r="F4" s="3" t="s">
        <v>122</v>
      </c>
    </row>
    <row r="5" customFormat="false" ht="27.75" hidden="false" customHeight="true" outlineLevel="0" collapsed="false">
      <c r="A5" s="17" t="s">
        <v>18</v>
      </c>
      <c r="B5" s="6" t="s">
        <v>123</v>
      </c>
      <c r="C5" s="4" t="s">
        <v>124</v>
      </c>
      <c r="D5" s="4" t="s">
        <v>125</v>
      </c>
      <c r="E5" s="4" t="s">
        <v>126</v>
      </c>
      <c r="F5" s="6" t="s">
        <v>127</v>
      </c>
    </row>
    <row r="6" customFormat="false" ht="27.75" hidden="false" customHeight="true" outlineLevel="0" collapsed="false">
      <c r="A6" s="18" t="s">
        <v>53</v>
      </c>
      <c r="B6" s="6" t="s">
        <v>128</v>
      </c>
      <c r="C6" s="4" t="s">
        <v>129</v>
      </c>
      <c r="D6" s="4" t="s">
        <v>125</v>
      </c>
      <c r="E6" s="4" t="s">
        <v>126</v>
      </c>
      <c r="F6" s="6" t="s">
        <v>130</v>
      </c>
    </row>
    <row r="7" customFormat="false" ht="27.75" hidden="false" customHeight="true" outlineLevel="0" collapsed="false">
      <c r="A7" s="19" t="s">
        <v>131</v>
      </c>
      <c r="B7" s="6" t="s">
        <v>132</v>
      </c>
      <c r="C7" s="4" t="s">
        <v>133</v>
      </c>
      <c r="D7" s="4" t="s">
        <v>125</v>
      </c>
      <c r="E7" s="4" t="s">
        <v>134</v>
      </c>
      <c r="F7" s="6" t="s">
        <v>135</v>
      </c>
    </row>
    <row r="8" customFormat="false" ht="27.75" hidden="false" customHeight="true" outlineLevel="0" collapsed="false">
      <c r="A8" s="20" t="s">
        <v>25</v>
      </c>
      <c r="B8" s="6" t="s">
        <v>136</v>
      </c>
      <c r="C8" s="4" t="s">
        <v>129</v>
      </c>
      <c r="D8" s="4" t="s">
        <v>125</v>
      </c>
      <c r="E8" s="4" t="s">
        <v>137</v>
      </c>
      <c r="F8" s="6" t="s">
        <v>138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22"/>
    <col collapsed="false" customWidth="true" hidden="false" outlineLevel="0" max="6" min="6" style="0" width="36"/>
  </cols>
  <sheetData>
    <row r="1" customFormat="false" ht="30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140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</row>
    <row r="5" customFormat="false" ht="19.5" hidden="false" customHeight="true" outlineLevel="0" collapsed="false">
      <c r="A5" s="4" t="s">
        <v>21</v>
      </c>
      <c r="B5" s="4" t="s">
        <v>147</v>
      </c>
      <c r="C5" s="4" t="s">
        <v>148</v>
      </c>
      <c r="D5" s="6" t="s">
        <v>149</v>
      </c>
      <c r="E5" s="6" t="s">
        <v>149</v>
      </c>
      <c r="F5" s="6" t="s">
        <v>150</v>
      </c>
    </row>
    <row r="6" customFormat="false" ht="19.5" hidden="false" customHeight="true" outlineLevel="0" collapsed="false">
      <c r="A6" s="7" t="s">
        <v>72</v>
      </c>
      <c r="B6" s="7" t="s">
        <v>151</v>
      </c>
      <c r="C6" s="7" t="s">
        <v>152</v>
      </c>
      <c r="D6" s="9" t="s">
        <v>149</v>
      </c>
      <c r="E6" s="9" t="s">
        <v>153</v>
      </c>
      <c r="F6" s="9" t="s">
        <v>154</v>
      </c>
    </row>
    <row r="7" customFormat="false" ht="19.5" hidden="false" customHeight="true" outlineLevel="0" collapsed="false">
      <c r="A7" s="4" t="s">
        <v>155</v>
      </c>
      <c r="B7" s="4" t="s">
        <v>156</v>
      </c>
      <c r="C7" s="4" t="s">
        <v>157</v>
      </c>
      <c r="D7" s="6" t="s">
        <v>149</v>
      </c>
      <c r="E7" s="6" t="s">
        <v>158</v>
      </c>
      <c r="F7" s="6" t="s">
        <v>159</v>
      </c>
    </row>
    <row r="8" customFormat="false" ht="19.5" hidden="false" customHeight="true" outlineLevel="0" collapsed="false">
      <c r="A8" s="7" t="s">
        <v>55</v>
      </c>
      <c r="B8" s="7" t="s">
        <v>160</v>
      </c>
      <c r="C8" s="7" t="s">
        <v>161</v>
      </c>
      <c r="D8" s="9" t="s">
        <v>149</v>
      </c>
      <c r="E8" s="9" t="s">
        <v>162</v>
      </c>
      <c r="F8" s="9" t="s">
        <v>163</v>
      </c>
    </row>
    <row r="9" customFormat="false" ht="19.5" hidden="false" customHeight="true" outlineLevel="0" collapsed="false">
      <c r="A9" s="4" t="s">
        <v>39</v>
      </c>
      <c r="B9" s="4" t="s">
        <v>164</v>
      </c>
      <c r="C9" s="4" t="s">
        <v>165</v>
      </c>
      <c r="D9" s="6" t="s">
        <v>149</v>
      </c>
      <c r="E9" s="6" t="s">
        <v>166</v>
      </c>
      <c r="F9" s="6" t="s">
        <v>167</v>
      </c>
    </row>
    <row r="10" customFormat="false" ht="19.5" hidden="false" customHeight="true" outlineLevel="0" collapsed="false">
      <c r="A10" s="7" t="s">
        <v>168</v>
      </c>
      <c r="B10" s="7" t="s">
        <v>169</v>
      </c>
      <c r="C10" s="7" t="s">
        <v>170</v>
      </c>
      <c r="D10" s="9" t="s">
        <v>149</v>
      </c>
      <c r="E10" s="9" t="s">
        <v>171</v>
      </c>
      <c r="F10" s="9" t="s">
        <v>172</v>
      </c>
    </row>
    <row r="11" customFormat="false" ht="19.5" hidden="false" customHeight="true" outlineLevel="0" collapsed="false">
      <c r="A11" s="4" t="s">
        <v>173</v>
      </c>
      <c r="B11" s="4" t="s">
        <v>174</v>
      </c>
      <c r="C11" s="4" t="s">
        <v>175</v>
      </c>
      <c r="D11" s="6" t="s">
        <v>176</v>
      </c>
      <c r="E11" s="6" t="s">
        <v>177</v>
      </c>
      <c r="F11" s="6" t="s">
        <v>178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4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4"/>
  </cols>
  <sheetData>
    <row r="1" customFormat="false" ht="30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180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3.5" hidden="false" customHeight="true" outlineLevel="0" collapsed="false"/>
    <row r="4" customFormat="false" ht="24" hidden="false" customHeight="true" outlineLevel="0" collapsed="false">
      <c r="A4" s="21" t="s">
        <v>181</v>
      </c>
      <c r="B4" s="21"/>
      <c r="C4" s="21"/>
      <c r="D4" s="21"/>
      <c r="E4" s="22" t="s">
        <v>182</v>
      </c>
      <c r="F4" s="22"/>
      <c r="G4" s="22"/>
      <c r="H4" s="21" t="s">
        <v>183</v>
      </c>
      <c r="I4" s="21"/>
      <c r="J4" s="21"/>
    </row>
    <row r="5" customFormat="false" ht="39.75" hidden="false" customHeight="true" outlineLevel="0" collapsed="false">
      <c r="A5" s="23" t="n">
        <f aca="false">COUNTA('01 Master Calendar Log'!A5:A19)</f>
        <v>15</v>
      </c>
      <c r="B5" s="23"/>
      <c r="C5" s="23"/>
      <c r="D5" s="23"/>
      <c r="E5" s="24" t="n">
        <f aca="false">COUNTIF('01 Master Calendar Log'!F5:F19,"Tier 1")+COUNTIF('01 Master Calendar Log'!F5:F19,"Tier 2")</f>
        <v>6</v>
      </c>
      <c r="F5" s="24"/>
      <c r="G5" s="24"/>
      <c r="H5" s="25" t="n">
        <f aca="false">SUM('01 Master Calendar Log'!G5:G19)/60</f>
        <v>15</v>
      </c>
      <c r="I5" s="25"/>
      <c r="J5" s="25"/>
    </row>
    <row r="6" customFormat="false" ht="9.75" hidden="false" customHeight="true" outlineLevel="0" collapsed="false"/>
    <row r="7" customFormat="false" ht="19.5" hidden="false" customHeight="true" outlineLevel="0" collapsed="false">
      <c r="A7" s="26" t="s">
        <v>184</v>
      </c>
      <c r="B7" s="26"/>
      <c r="C7" s="26"/>
      <c r="D7" s="26"/>
      <c r="E7" s="26"/>
      <c r="G7" s="26" t="s">
        <v>185</v>
      </c>
      <c r="H7" s="26"/>
      <c r="I7" s="26"/>
      <c r="J7" s="26"/>
    </row>
    <row r="8" customFormat="false" ht="19.5" hidden="false" customHeight="true" outlineLevel="0" collapsed="false">
      <c r="A8" s="3" t="s">
        <v>87</v>
      </c>
      <c r="B8" s="3" t="s">
        <v>88</v>
      </c>
      <c r="C8" s="3" t="s">
        <v>186</v>
      </c>
      <c r="D8" s="3" t="s">
        <v>187</v>
      </c>
      <c r="E8" s="3" t="s">
        <v>188</v>
      </c>
      <c r="G8" s="3" t="s">
        <v>189</v>
      </c>
      <c r="H8" s="3" t="s">
        <v>186</v>
      </c>
      <c r="I8" s="3" t="s">
        <v>190</v>
      </c>
    </row>
    <row r="9" customFormat="false" ht="19.5" hidden="false" customHeight="true" outlineLevel="0" collapsed="false">
      <c r="A9" s="17" t="s">
        <v>16</v>
      </c>
      <c r="B9" s="6" t="s">
        <v>191</v>
      </c>
      <c r="C9" s="4" t="n">
        <f aca="false">COUNTIF('01 Master Calendar Log'!D5:D19,A9)</f>
        <v>6</v>
      </c>
      <c r="D9" s="4" t="n">
        <f aca="false">SUMIF('01 Master Calendar Log'!D5:D19,A9,'01 Master Calendar Log'!G5:G19)</f>
        <v>390</v>
      </c>
      <c r="E9" s="27" t="n">
        <f aca="false">IFERROR(C9/SUM($C$9:$C$12),0)</f>
        <v>0.4</v>
      </c>
      <c r="G9" s="28" t="s">
        <v>192</v>
      </c>
      <c r="H9" s="4" t="n">
        <f aca="false">COUNTIF('01 Master Calendar Log'!H5:H19,"Y")</f>
        <v>10</v>
      </c>
      <c r="I9" s="27" t="n">
        <f aca="false">IFERROR(H9/SUM($H$9:$H$10),0)</f>
        <v>0.666666666666667</v>
      </c>
    </row>
    <row r="10" customFormat="false" ht="19.5" hidden="false" customHeight="true" outlineLevel="0" collapsed="false">
      <c r="A10" s="19" t="s">
        <v>31</v>
      </c>
      <c r="B10" s="9" t="s">
        <v>193</v>
      </c>
      <c r="C10" s="7" t="n">
        <f aca="false">COUNTIF('01 Master Calendar Log'!D5:D19,A10)</f>
        <v>4</v>
      </c>
      <c r="D10" s="7" t="n">
        <f aca="false">SUMIF('01 Master Calendar Log'!D5:D19,A10,'01 Master Calendar Log'!G5:G19)</f>
        <v>180</v>
      </c>
      <c r="E10" s="29" t="n">
        <f aca="false">IFERROR(C10/SUM($C$9:$C$12),0)</f>
        <v>0.266666666666667</v>
      </c>
      <c r="G10" s="30" t="s">
        <v>194</v>
      </c>
      <c r="H10" s="4" t="n">
        <f aca="false">COUNTIF('01 Master Calendar Log'!H5:H19,"N")</f>
        <v>5</v>
      </c>
      <c r="I10" s="27" t="n">
        <f aca="false">IFERROR(H10/SUM($H$9:$H$10),0)</f>
        <v>0.333333333333333</v>
      </c>
    </row>
    <row r="11" customFormat="false" ht="18" hidden="false" customHeight="true" outlineLevel="0" collapsed="false">
      <c r="A11" s="18" t="s">
        <v>23</v>
      </c>
      <c r="B11" s="6" t="s">
        <v>106</v>
      </c>
      <c r="C11" s="4" t="n">
        <f aca="false">COUNTIF('01 Master Calendar Log'!D5:D19,A11)</f>
        <v>3</v>
      </c>
      <c r="D11" s="4" t="n">
        <f aca="false">SUMIF('01 Master Calendar Log'!D5:D19,A11,'01 Master Calendar Log'!G5:G19)</f>
        <v>90</v>
      </c>
      <c r="E11" s="27" t="n">
        <f aca="false">IFERROR(C11/SUM($C$9:$C$12),0)</f>
        <v>0.2</v>
      </c>
    </row>
    <row r="12" customFormat="false" ht="18" hidden="false" customHeight="true" outlineLevel="0" collapsed="false">
      <c r="A12" s="31" t="s">
        <v>43</v>
      </c>
      <c r="B12" s="9" t="s">
        <v>195</v>
      </c>
      <c r="C12" s="7" t="n">
        <f aca="false">COUNTIF('01 Master Calendar Log'!D5:D19,A12)</f>
        <v>2</v>
      </c>
      <c r="D12" s="7" t="n">
        <f aca="false">SUMIF('01 Master Calendar Log'!D5:D19,A12,'01 Master Calendar Log'!G5:G19)</f>
        <v>240</v>
      </c>
      <c r="E12" s="29" t="n">
        <f aca="false">IFERROR(C12/SUM($C$9:$C$12),0)</f>
        <v>0.133333333333333</v>
      </c>
    </row>
  </sheetData>
  <mergeCells count="10">
    <mergeCell ref="A1:J1"/>
    <mergeCell ref="A2:J2"/>
    <mergeCell ref="A4:D4"/>
    <mergeCell ref="E4:G4"/>
    <mergeCell ref="H4:J4"/>
    <mergeCell ref="A5:D5"/>
    <mergeCell ref="E5:G5"/>
    <mergeCell ref="H5:J5"/>
    <mergeCell ref="A7:E7"/>
    <mergeCell ref="G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2026-06-23T17:46:35Z</dcterms:created>
  <dc:creator>openpyxl</dc:creator>
  <dc:description/>
  <dc:language>en-US</dc:language>
  <cp:lastModifiedBy/>
  <dcterms:modified xsi:type="dcterms:W3CDTF">2026-06-23T17:46:35Z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