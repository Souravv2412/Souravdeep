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 Template" sheetId="1" state="visible" r:id="rId3"/>
    <sheet name="Master Transaction Log" sheetId="2" state="visible" r:id="rId4"/>
    <sheet name="Vendor Directory" sheetId="3" state="visible" r:id="rId5"/>
    <sheet name="Department Cost Centers" sheetId="4" state="visible" r:id="rId6"/>
    <sheet name="Executive Dashboard" sheetId="5" state="visible" r:id="rId7"/>
    <sheet name="Payment Status Referen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<sst xmlns="http://schemas.openxmlformats.org/spreadsheetml/2006/main" count="280" uniqueCount="179">
  <si>
    <t xml:space="preserve">VENDOR INVOICE</t>
  </si>
  <si>
    <t xml:space="preserve">Project 3: Financial Data Architecture &amp; Operational Reporting Dashboard</t>
  </si>
  <si>
    <t xml:space="preserve">Tax Rate:</t>
  </si>
  <si>
    <t xml:space="preserve">Invoice Number:</t>
  </si>
  <si>
    <t xml:space="preserve">Invoice Date:</t>
  </si>
  <si>
    <t xml:space="preserve">2026-06-23</t>
  </si>
  <si>
    <t xml:space="preserve">Due Date:</t>
  </si>
  <si>
    <t xml:space="preserve">PO Reference:</t>
  </si>
  <si>
    <t xml:space="preserve">PO-2026-0042</t>
  </si>
  <si>
    <t xml:space="preserve">BILL FROM (Vendor):</t>
  </si>
  <si>
    <t xml:space="preserve">BILL TO (Company):</t>
  </si>
  <si>
    <t xml:space="preserve">Nexus Supply Co.</t>
  </si>
  <si>
    <t xml:space="preserve">Acme Operations Ltd.</t>
  </si>
  <si>
    <t xml:space="preserve">42 Industrial Park Blvd</t>
  </si>
  <si>
    <t xml:space="preserve">100 Corporate Drive, Suite 800</t>
  </si>
  <si>
    <t xml:space="preserve">Toronto, ON  M5V 2T6</t>
  </si>
  <si>
    <t xml:space="preserve">Toronto, ON  M4B 1B3</t>
  </si>
  <si>
    <t xml:space="preserve">vendor@nexussupply.com</t>
  </si>
  <si>
    <t xml:space="preserve">accounts@acmeops.com</t>
  </si>
  <si>
    <t xml:space="preserve">Description</t>
  </si>
  <si>
    <t xml:space="preserve">Qty</t>
  </si>
  <si>
    <t xml:space="preserve">Unit Price ($)</t>
  </si>
  <si>
    <t xml:space="preserve">Amount ($)</t>
  </si>
  <si>
    <t xml:space="preserve">Dept Code</t>
  </si>
  <si>
    <t xml:space="preserve">Office Supplies — Q2 2026</t>
  </si>
  <si>
    <t xml:space="preserve">CC-001</t>
  </si>
  <si>
    <t xml:space="preserve">IT Equipment Lease — June</t>
  </si>
  <si>
    <t xml:space="preserve">CC-005</t>
  </si>
  <si>
    <t xml:space="preserve">Cleaning Services — Monthly</t>
  </si>
  <si>
    <t xml:space="preserve">Marketing Materials — Print Run</t>
  </si>
  <si>
    <t xml:space="preserve">CC-006</t>
  </si>
  <si>
    <t xml:space="preserve">Training Workshop — Finance Team</t>
  </si>
  <si>
    <t xml:space="preserve">CC-002</t>
  </si>
  <si>
    <t xml:space="preserve">Subtotal</t>
  </si>
  <si>
    <t xml:space="preserve">HST / Tax (13%)</t>
  </si>
  <si>
    <t xml:space="preserve">TOTAL DUE ($)</t>
  </si>
  <si>
    <t xml:space="preserve">NOTE: Blue text = hardcoded input (user-editable). Black text = formula (locked). Tax rate assumption in cell F3.</t>
  </si>
  <si>
    <t xml:space="preserve">MASTER TRANSACTION LOG — FACT TABLE</t>
  </si>
  <si>
    <t xml:space="preserve">Central data source for all pivot tables and the executive dashboard. Do not edit formulas.</t>
  </si>
  <si>
    <t xml:space="preserve">Invoice ID</t>
  </si>
  <si>
    <t xml:space="preserve">Date</t>
  </si>
  <si>
    <t xml:space="preserve">Vendor ID</t>
  </si>
  <si>
    <t xml:space="preserve">Vendor Name</t>
  </si>
  <si>
    <t xml:space="preserve">Tax ($)</t>
  </si>
  <si>
    <t xml:space="preserve">Total ($)</t>
  </si>
  <si>
    <t xml:space="preserve">Payment Status</t>
  </si>
  <si>
    <t xml:space="preserve">Days Outstanding</t>
  </si>
  <si>
    <t xml:space="preserve">INV-001</t>
  </si>
  <si>
    <t xml:space="preserve">2026-04-03</t>
  </si>
  <si>
    <t xml:space="preserve">VND-001</t>
  </si>
  <si>
    <t xml:space="preserve">Paid</t>
  </si>
  <si>
    <t xml:space="preserve">INV-002</t>
  </si>
  <si>
    <t xml:space="preserve">2026-04-10</t>
  </si>
  <si>
    <t xml:space="preserve">VND-002</t>
  </si>
  <si>
    <t xml:space="preserve">TechLease Corp.</t>
  </si>
  <si>
    <t xml:space="preserve">INV-003</t>
  </si>
  <si>
    <t xml:space="preserve">2026-04-15</t>
  </si>
  <si>
    <t xml:space="preserve">VND-003</t>
  </si>
  <si>
    <t xml:space="preserve">CleanPro Services</t>
  </si>
  <si>
    <t xml:space="preserve">INV-004</t>
  </si>
  <si>
    <t xml:space="preserve">2026-04-22</t>
  </si>
  <si>
    <t xml:space="preserve">VND-004</t>
  </si>
  <si>
    <t xml:space="preserve">PrintMasters Inc.</t>
  </si>
  <si>
    <t xml:space="preserve">INV-005</t>
  </si>
  <si>
    <t xml:space="preserve">2026-05-01</t>
  </si>
  <si>
    <t xml:space="preserve">VND-005</t>
  </si>
  <si>
    <t xml:space="preserve">TrainRight Ltd.</t>
  </si>
  <si>
    <t xml:space="preserve">INV-006</t>
  </si>
  <si>
    <t xml:space="preserve">2026-05-05</t>
  </si>
  <si>
    <t xml:space="preserve">INV-007</t>
  </si>
  <si>
    <t xml:space="preserve">2026-05-12</t>
  </si>
  <si>
    <t xml:space="preserve">Pending</t>
  </si>
  <si>
    <t xml:space="preserve">INV-008</t>
  </si>
  <si>
    <t xml:space="preserve">2026-05-18</t>
  </si>
  <si>
    <t xml:space="preserve">VND-006</t>
  </si>
  <si>
    <t xml:space="preserve">OfficeWorld</t>
  </si>
  <si>
    <t xml:space="preserve">CC-003</t>
  </si>
  <si>
    <t xml:space="preserve">INV-009</t>
  </si>
  <si>
    <t xml:space="preserve">2026-05-25</t>
  </si>
  <si>
    <t xml:space="preserve">INV-010</t>
  </si>
  <si>
    <t xml:space="preserve">2026-06-01</t>
  </si>
  <si>
    <t xml:space="preserve">VND-007</t>
  </si>
  <si>
    <t xml:space="preserve">Meridian Consulting</t>
  </si>
  <si>
    <t xml:space="preserve">CC-004</t>
  </si>
  <si>
    <t xml:space="preserve">INV-011</t>
  </si>
  <si>
    <t xml:space="preserve">2026-06-03</t>
  </si>
  <si>
    <t xml:space="preserve">Overdue</t>
  </si>
  <si>
    <t xml:space="preserve">INV-012</t>
  </si>
  <si>
    <t xml:space="preserve">2026-06-08</t>
  </si>
  <si>
    <t xml:space="preserve">VND-008</t>
  </si>
  <si>
    <t xml:space="preserve">FacilityPro</t>
  </si>
  <si>
    <t xml:space="preserve">INV-013</t>
  </si>
  <si>
    <t xml:space="preserve">2026-06-10</t>
  </si>
  <si>
    <t xml:space="preserve">Disputed</t>
  </si>
  <si>
    <t xml:space="preserve">INV-014</t>
  </si>
  <si>
    <t xml:space="preserve">2026-06-15</t>
  </si>
  <si>
    <t xml:space="preserve">INV-015</t>
  </si>
  <si>
    <t xml:space="preserve">2026-06-20</t>
  </si>
  <si>
    <t xml:space="preserve">VND-009</t>
  </si>
  <si>
    <t xml:space="preserve">Apex Marketing</t>
  </si>
  <si>
    <t xml:space="preserve">TOTALS</t>
  </si>
  <si>
    <t xml:space="preserve">DIMENSION TABLE 1: VENDOR DIRECTORY</t>
  </si>
  <si>
    <t xml:space="preserve">Links to Master Transaction Log via Vendor ID</t>
  </si>
  <si>
    <t xml:space="preserve">Contact Email</t>
  </si>
  <si>
    <t xml:space="preserve">Payment Terms</t>
  </si>
  <si>
    <t xml:space="preserve">Vendor Tier</t>
  </si>
  <si>
    <t xml:space="preserve">Notes</t>
  </si>
  <si>
    <t xml:space="preserve">billing@nexussupply.com</t>
  </si>
  <si>
    <t xml:space="preserve">Net 30</t>
  </si>
  <si>
    <t xml:space="preserve">Tier 1</t>
  </si>
  <si>
    <t xml:space="preserve">Primary office supplies vendor</t>
  </si>
  <si>
    <t xml:space="preserve">accounts@techlease.com</t>
  </si>
  <si>
    <t xml:space="preserve">Net 45</t>
  </si>
  <si>
    <t xml:space="preserve">IT equipment leasing</t>
  </si>
  <si>
    <t xml:space="preserve">invoice@cleanpro.ca</t>
  </si>
  <si>
    <t xml:space="preserve">Tier 2</t>
  </si>
  <si>
    <t xml:space="preserve">Monthly cleaning contract</t>
  </si>
  <si>
    <t xml:space="preserve">billing@printmasters.com</t>
  </si>
  <si>
    <t xml:space="preserve">Net 15</t>
  </si>
  <si>
    <t xml:space="preserve">High volume of disputed invoices</t>
  </si>
  <si>
    <t xml:space="preserve">accounts@trainright.co</t>
  </si>
  <si>
    <t xml:space="preserve">HR and Finance training</t>
  </si>
  <si>
    <t xml:space="preserve">ap@officeworld.com</t>
  </si>
  <si>
    <t xml:space="preserve">Tier 3</t>
  </si>
  <si>
    <t xml:space="preserve">Occasional furniture and supplies</t>
  </si>
  <si>
    <t xml:space="preserve">fees@meridianconsult.com</t>
  </si>
  <si>
    <t xml:space="preserve">Strategic consulting engagements</t>
  </si>
  <si>
    <t xml:space="preserve">billing@facilitypro.ca</t>
  </si>
  <si>
    <t xml:space="preserve">Building maintenance</t>
  </si>
  <si>
    <t xml:space="preserve">billing@apexmktg.com</t>
  </si>
  <si>
    <t xml:space="preserve">Campaign materials and digital ads</t>
  </si>
  <si>
    <t xml:space="preserve">DIMENSION TABLE 2: DEPARTMENT COST CENTERS</t>
  </si>
  <si>
    <t xml:space="preserve">Links to Master Transaction Log via Dept Code</t>
  </si>
  <si>
    <t xml:space="preserve">Cost Center Code</t>
  </si>
  <si>
    <t xml:space="preserve">Department Name</t>
  </si>
  <si>
    <t xml:space="preserve">Dept Head</t>
  </si>
  <si>
    <t xml:space="preserve">Annual Budget ($)</t>
  </si>
  <si>
    <t xml:space="preserve">Operations</t>
  </si>
  <si>
    <t xml:space="preserve">Sarah Mitchell</t>
  </si>
  <si>
    <t xml:space="preserve">Finance</t>
  </si>
  <si>
    <t xml:space="preserve">Robert Chen</t>
  </si>
  <si>
    <t xml:space="preserve">Human Resources</t>
  </si>
  <si>
    <t xml:space="preserve">Amanda Torres</t>
  </si>
  <si>
    <t xml:space="preserve">Client Services</t>
  </si>
  <si>
    <t xml:space="preserve">David Park</t>
  </si>
  <si>
    <t xml:space="preserve">Information Technology</t>
  </si>
  <si>
    <t xml:space="preserve">James Okafor</t>
  </si>
  <si>
    <t xml:space="preserve">Marketing</t>
  </si>
  <si>
    <t xml:space="preserve">Priya Sharma</t>
  </si>
  <si>
    <t xml:space="preserve">EXECUTIVE FINANCIAL DASHBOARD — ACCOUNTS PAYABLE OVERVIEW</t>
  </si>
  <si>
    <t xml:space="preserve">As of: 2026-06-23  |  Source: Master Transaction Log  |  Currency: CAD ($)</t>
  </si>
  <si>
    <t xml:space="preserve">TOTAL INVOICES ($)</t>
  </si>
  <si>
    <t xml:space="preserve">TOTAL OVERDUE ($)</t>
  </si>
  <si>
    <t xml:space="preserve">INVOICES THIS MONTH</t>
  </si>
  <si>
    <t xml:space="preserve">SPEND BY DEPARTMENT</t>
  </si>
  <si>
    <t xml:space="preserve">PAYMENT STATUS BREAKDOWN</t>
  </si>
  <si>
    <t xml:space="preserve">Department</t>
  </si>
  <si>
    <t xml:space="preserve">Total Invoiced ($)</t>
  </si>
  <si>
    <t xml:space="preserve"># Invoices</t>
  </si>
  <si>
    <t xml:space="preserve">Status</t>
  </si>
  <si>
    <t xml:space="preserve">Count</t>
  </si>
  <si>
    <t xml:space="preserve">Total Amount ($)</t>
  </si>
  <si>
    <t xml:space="preserve">% of Total</t>
  </si>
  <si>
    <t xml:space="preserve">IT</t>
  </si>
  <si>
    <t xml:space="preserve">DIMENSION TABLE 3: PAYMENT STATUS REFERENCE</t>
  </si>
  <si>
    <t xml:space="preserve">Defines valid status codes used in the Master Transaction Log</t>
  </si>
  <si>
    <t xml:space="preserve">Status Code</t>
  </si>
  <si>
    <t xml:space="preserve">Action Required</t>
  </si>
  <si>
    <t xml:space="preserve">Escalate to Manager?</t>
  </si>
  <si>
    <t xml:space="preserve">Invoice received, verified, and payment processed</t>
  </si>
  <si>
    <t xml:space="preserve">None — archive invoice</t>
  </si>
  <si>
    <t xml:space="preserve">No</t>
  </si>
  <si>
    <t xml:space="preserve">Invoice received, payment not yet initiated</t>
  </si>
  <si>
    <t xml:space="preserve">Queue for next payment run</t>
  </si>
  <si>
    <t xml:space="preserve">Payment due date has passed without settlement</t>
  </si>
  <si>
    <t xml:space="preserve">Issue payment or escalate immediately</t>
  </si>
  <si>
    <t xml:space="preserve">YES</t>
  </si>
  <si>
    <t xml:space="preserve">Invoice contested due to error, discrepancy, or fraud concern</t>
  </si>
  <si>
    <t xml:space="preserve">Hold payment; contact vendor for resolution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</si>
</sst>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.00"/>
    <numFmt numFmtId="167" formatCode="0"/>
    <numFmt numFmtId="168" formatCode="#,##0"/>
    <numFmt numFmtId="169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1F4E79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CCCCCC"/>
      </patternFill>
    </fill>
    <fill>
      <patternFill patternType="solid">
        <fgColor rgb="FFC00000"/>
        <bgColor rgb="FF8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9.75" hidden="false" customHeight="true" outlineLevel="0" collapsed="false">
      <c r="E3" s="3" t="s">
        <v>2</v>
      </c>
      <c r="F3" s="4" t="n">
        <v>0.13</v>
      </c>
    </row>
    <row r="4" customFormat="false" ht="18" hidden="false" customHeight="true" outlineLevel="0" collapsed="false">
      <c r="B4" s="5" t="s">
        <v>3</v>
      </c>
      <c r="C4" s="6" t="str">
        <f aca="false">"INV-"&amp;TEXT(RANDBETWEEN(1000,9999),"0000")</f>
        <v>INV-6018</v>
      </c>
    </row>
    <row r="5" customFormat="false" ht="18" hidden="false" customHeight="true" outlineLevel="0" collapsed="false">
      <c r="B5" s="5" t="s">
        <v>4</v>
      </c>
      <c r="C5" s="6" t="s">
        <v>5</v>
      </c>
    </row>
    <row r="6" customFormat="false" ht="18" hidden="false" customHeight="true" outlineLevel="0" collapsed="false">
      <c r="B6" s="5" t="s">
        <v>6</v>
      </c>
      <c r="C6" s="6" t="n">
        <f aca="false">C5+30</f>
        <v>46226</v>
      </c>
    </row>
    <row r="7" customFormat="false" ht="18" hidden="false" customHeight="true" outlineLevel="0" collapsed="false">
      <c r="B7" s="5" t="s">
        <v>7</v>
      </c>
      <c r="C7" s="6" t="s">
        <v>8</v>
      </c>
    </row>
    <row r="9" customFormat="false" ht="18" hidden="false" customHeight="true" outlineLevel="0" collapsed="false">
      <c r="B9" s="7" t="s">
        <v>9</v>
      </c>
      <c r="C9" s="7"/>
      <c r="E9" s="7" t="s">
        <v>10</v>
      </c>
      <c r="F9" s="7"/>
    </row>
    <row r="10" customFormat="false" ht="18" hidden="false" customHeight="true" outlineLevel="0" collapsed="false">
      <c r="B10" s="8" t="s">
        <v>11</v>
      </c>
      <c r="C10" s="8"/>
      <c r="E10" s="8" t="s">
        <v>12</v>
      </c>
      <c r="F10" s="8"/>
    </row>
    <row r="11" customFormat="false" ht="18" hidden="false" customHeight="true" outlineLevel="0" collapsed="false">
      <c r="B11" s="8" t="s">
        <v>13</v>
      </c>
      <c r="C11" s="8"/>
      <c r="E11" s="8" t="s">
        <v>14</v>
      </c>
      <c r="F11" s="8"/>
    </row>
    <row r="12" customFormat="false" ht="18" hidden="false" customHeight="true" outlineLevel="0" collapsed="false">
      <c r="B12" s="8" t="s">
        <v>15</v>
      </c>
      <c r="C12" s="8"/>
      <c r="E12" s="8" t="s">
        <v>16</v>
      </c>
      <c r="F12" s="8"/>
    </row>
    <row r="13" customFormat="false" ht="18" hidden="false" customHeight="true" outlineLevel="0" collapsed="false">
      <c r="B13" s="8" t="s">
        <v>17</v>
      </c>
      <c r="C13" s="8"/>
      <c r="E13" s="8" t="s">
        <v>18</v>
      </c>
      <c r="F13" s="8"/>
    </row>
    <row r="14" customFormat="false" ht="18" hidden="false" customHeight="true" outlineLevel="0" collapsed="false"/>
    <row r="15" customFormat="false" ht="18" hidden="false" customHeight="true" outlineLevel="0" collapsed="false">
      <c r="A15" s="9"/>
      <c r="B15" s="9" t="s">
        <v>19</v>
      </c>
      <c r="C15" s="9" t="s">
        <v>20</v>
      </c>
      <c r="D15" s="9" t="s">
        <v>21</v>
      </c>
      <c r="E15" s="9" t="s">
        <v>22</v>
      </c>
      <c r="F15" s="9" t="s">
        <v>23</v>
      </c>
    </row>
    <row r="16" customFormat="false" ht="18" hidden="false" customHeight="true" outlineLevel="0" collapsed="false">
      <c r="A16" s="10"/>
      <c r="B16" s="11" t="s">
        <v>24</v>
      </c>
      <c r="C16" s="12" t="n">
        <v>5</v>
      </c>
      <c r="D16" s="13" t="n">
        <v>120</v>
      </c>
      <c r="E16" s="14" t="n">
        <f aca="false">C16*D16</f>
        <v>600</v>
      </c>
      <c r="F16" s="12" t="s">
        <v>25</v>
      </c>
    </row>
    <row r="17" customFormat="false" ht="18" hidden="false" customHeight="true" outlineLevel="0" collapsed="false">
      <c r="A17" s="10"/>
      <c r="B17" s="11" t="s">
        <v>26</v>
      </c>
      <c r="C17" s="12" t="n">
        <v>1</v>
      </c>
      <c r="D17" s="13" t="n">
        <v>850</v>
      </c>
      <c r="E17" s="14" t="n">
        <f aca="false">C17*D17</f>
        <v>850</v>
      </c>
      <c r="F17" s="12" t="s">
        <v>27</v>
      </c>
    </row>
    <row r="18" customFormat="false" ht="18" hidden="false" customHeight="true" outlineLevel="0" collapsed="false">
      <c r="A18" s="10"/>
      <c r="B18" s="11" t="s">
        <v>28</v>
      </c>
      <c r="C18" s="12" t="n">
        <v>4</v>
      </c>
      <c r="D18" s="13" t="n">
        <v>275</v>
      </c>
      <c r="E18" s="14" t="n">
        <f aca="false">C18*D18</f>
        <v>1100</v>
      </c>
      <c r="F18" s="12" t="s">
        <v>25</v>
      </c>
    </row>
    <row r="19" customFormat="false" ht="18" hidden="false" customHeight="true" outlineLevel="0" collapsed="false">
      <c r="A19" s="10"/>
      <c r="B19" s="11" t="s">
        <v>29</v>
      </c>
      <c r="C19" s="12" t="n">
        <v>500</v>
      </c>
      <c r="D19" s="13" t="n">
        <v>0.85</v>
      </c>
      <c r="E19" s="14" t="n">
        <f aca="false">C19*D19</f>
        <v>425</v>
      </c>
      <c r="F19" s="12" t="s">
        <v>30</v>
      </c>
    </row>
    <row r="20" customFormat="false" ht="18" hidden="false" customHeight="true" outlineLevel="0" collapsed="false">
      <c r="A20" s="10"/>
      <c r="B20" s="11" t="s">
        <v>31</v>
      </c>
      <c r="C20" s="12" t="n">
        <v>8</v>
      </c>
      <c r="D20" s="13" t="n">
        <v>150</v>
      </c>
      <c r="E20" s="14" t="n">
        <f aca="false">C20*D20</f>
        <v>1200</v>
      </c>
      <c r="F20" s="12" t="s">
        <v>32</v>
      </c>
    </row>
    <row r="21" customFormat="false" ht="18" hidden="false" customHeight="true" outlineLevel="0" collapsed="false">
      <c r="A21" s="10"/>
      <c r="B21" s="10"/>
      <c r="C21" s="10"/>
      <c r="D21" s="10"/>
      <c r="E21" s="10"/>
      <c r="F21" s="10"/>
    </row>
    <row r="22" customFormat="false" ht="18" hidden="false" customHeight="true" outlineLevel="0" collapsed="false">
      <c r="A22" s="10"/>
      <c r="B22" s="10"/>
      <c r="C22" s="10"/>
      <c r="D22" s="10"/>
      <c r="E22" s="10"/>
      <c r="F22" s="10"/>
    </row>
    <row r="23" customFormat="false" ht="18" hidden="false" customHeight="true" outlineLevel="0" collapsed="false">
      <c r="A23" s="10"/>
      <c r="B23" s="10"/>
      <c r="C23" s="10"/>
      <c r="D23" s="10"/>
      <c r="E23" s="10"/>
      <c r="F23" s="10"/>
    </row>
    <row r="25" customFormat="false" ht="15" hidden="false" customHeight="false" outlineLevel="0" collapsed="false">
      <c r="A25" s="15" t="s">
        <v>33</v>
      </c>
      <c r="B25" s="15"/>
      <c r="C25" s="15"/>
      <c r="D25" s="15"/>
      <c r="E25" s="16" t="n">
        <f aca="false">SUM(E16:E23)</f>
        <v>4175</v>
      </c>
    </row>
    <row r="26" customFormat="false" ht="15" hidden="false" customHeight="false" outlineLevel="0" collapsed="false">
      <c r="A26" s="15" t="s">
        <v>34</v>
      </c>
      <c r="B26" s="15"/>
      <c r="C26" s="15"/>
      <c r="D26" s="15"/>
      <c r="E26" s="14" t="n">
        <f aca="false">E25*$F$3</f>
        <v>542.75</v>
      </c>
    </row>
    <row r="27" customFormat="false" ht="15" hidden="false" customHeight="false" outlineLevel="0" collapsed="false">
      <c r="A27" s="17" t="s">
        <v>35</v>
      </c>
      <c r="B27" s="17"/>
      <c r="C27" s="17"/>
      <c r="D27" s="17"/>
      <c r="E27" s="18" t="n">
        <f aca="false">E25+E26</f>
        <v>4717.75</v>
      </c>
    </row>
    <row r="29" customFormat="false" ht="15" hidden="false" customHeight="true" outlineLevel="0" collapsed="false">
      <c r="A29" s="19" t="s">
        <v>36</v>
      </c>
      <c r="B29" s="19"/>
      <c r="C29" s="19"/>
      <c r="D29" s="19"/>
      <c r="E29" s="19"/>
      <c r="F29" s="19"/>
    </row>
  </sheetData>
  <mergeCells count="16">
    <mergeCell ref="A1:F1"/>
    <mergeCell ref="A2:F2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A25:D25"/>
    <mergeCell ref="A26:D26"/>
    <mergeCell ref="A27:D27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8" min="6" style="0" width="13"/>
    <col collapsed="false" customWidth="true" hidden="false" outlineLevel="0" max="9" min="9" style="0" width="16"/>
    <col collapsed="false" customWidth="true" hidden="false" outlineLevel="0" max="10" min="10" style="0" width="17"/>
  </cols>
  <sheetData>
    <row r="1" customFormat="false" ht="30" hidden="false" customHeight="true" outlineLevel="0" collapsed="false">
      <c r="A1" s="20" t="s">
        <v>37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18" hidden="false" customHeight="true" outlineLevel="0" collapsed="false">
      <c r="A2" s="21" t="s">
        <v>38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6" hidden="false" customHeight="true" outlineLevel="0" collapsed="false"/>
    <row r="4" customFormat="false" ht="21.75" hidden="false" customHeight="true" outlineLevel="0" collapsed="false">
      <c r="A4" s="9" t="s">
        <v>39</v>
      </c>
      <c r="B4" s="9" t="s">
        <v>40</v>
      </c>
      <c r="C4" s="9" t="s">
        <v>41</v>
      </c>
      <c r="D4" s="9" t="s">
        <v>42</v>
      </c>
      <c r="E4" s="9" t="s">
        <v>23</v>
      </c>
      <c r="F4" s="9" t="s">
        <v>22</v>
      </c>
      <c r="G4" s="9" t="s">
        <v>43</v>
      </c>
      <c r="H4" s="9" t="s">
        <v>44</v>
      </c>
      <c r="I4" s="9" t="s">
        <v>45</v>
      </c>
      <c r="J4" s="9" t="s">
        <v>46</v>
      </c>
    </row>
    <row r="5" customFormat="false" ht="18" hidden="false" customHeight="true" outlineLevel="0" collapsed="false">
      <c r="A5" s="12" t="s">
        <v>47</v>
      </c>
      <c r="B5" s="12" t="s">
        <v>48</v>
      </c>
      <c r="C5" s="12" t="s">
        <v>49</v>
      </c>
      <c r="D5" s="11" t="s">
        <v>11</v>
      </c>
      <c r="E5" s="12" t="s">
        <v>25</v>
      </c>
      <c r="F5" s="22" t="n">
        <v>600</v>
      </c>
      <c r="G5" s="23" t="n">
        <f aca="false">F5*0.13</f>
        <v>78</v>
      </c>
      <c r="H5" s="23" t="n">
        <f aca="false">F5+G5</f>
        <v>678</v>
      </c>
      <c r="I5" s="24" t="s">
        <v>50</v>
      </c>
      <c r="J5" s="25" t="n">
        <f aca="true">IF(I5="Paid",0,TODAY()-DATEVALUE("2026-04-03"))</f>
        <v>0</v>
      </c>
    </row>
    <row r="6" customFormat="false" ht="18" hidden="false" customHeight="true" outlineLevel="0" collapsed="false">
      <c r="A6" s="26" t="s">
        <v>51</v>
      </c>
      <c r="B6" s="26" t="s">
        <v>52</v>
      </c>
      <c r="C6" s="26" t="s">
        <v>53</v>
      </c>
      <c r="D6" s="27" t="s">
        <v>54</v>
      </c>
      <c r="E6" s="26" t="s">
        <v>27</v>
      </c>
      <c r="F6" s="22" t="n">
        <v>850</v>
      </c>
      <c r="G6" s="28" t="n">
        <f aca="false">F6*0.13</f>
        <v>110.5</v>
      </c>
      <c r="H6" s="28" t="n">
        <f aca="false">F6+G6</f>
        <v>960.5</v>
      </c>
      <c r="I6" s="24" t="s">
        <v>50</v>
      </c>
      <c r="J6" s="29" t="n">
        <f aca="true">IF(I6="Paid",0,TODAY()-DATEVALUE("2026-04-10"))</f>
        <v>0</v>
      </c>
    </row>
    <row r="7" customFormat="false" ht="18" hidden="false" customHeight="true" outlineLevel="0" collapsed="false">
      <c r="A7" s="12" t="s">
        <v>55</v>
      </c>
      <c r="B7" s="12" t="s">
        <v>56</v>
      </c>
      <c r="C7" s="12" t="s">
        <v>57</v>
      </c>
      <c r="D7" s="11" t="s">
        <v>58</v>
      </c>
      <c r="E7" s="12" t="s">
        <v>25</v>
      </c>
      <c r="F7" s="22" t="n">
        <v>1100</v>
      </c>
      <c r="G7" s="23" t="n">
        <f aca="false">F7*0.13</f>
        <v>143</v>
      </c>
      <c r="H7" s="23" t="n">
        <f aca="false">F7+G7</f>
        <v>1243</v>
      </c>
      <c r="I7" s="24" t="s">
        <v>50</v>
      </c>
      <c r="J7" s="25" t="n">
        <f aca="true">IF(I7="Paid",0,TODAY()-DATEVALUE("2026-04-15"))</f>
        <v>0</v>
      </c>
    </row>
    <row r="8" customFormat="false" ht="18" hidden="false" customHeight="true" outlineLevel="0" collapsed="false">
      <c r="A8" s="26" t="s">
        <v>59</v>
      </c>
      <c r="B8" s="26" t="s">
        <v>60</v>
      </c>
      <c r="C8" s="26" t="s">
        <v>61</v>
      </c>
      <c r="D8" s="27" t="s">
        <v>62</v>
      </c>
      <c r="E8" s="26" t="s">
        <v>30</v>
      </c>
      <c r="F8" s="22" t="n">
        <v>425</v>
      </c>
      <c r="G8" s="28" t="n">
        <f aca="false">F8*0.13</f>
        <v>55.25</v>
      </c>
      <c r="H8" s="28" t="n">
        <f aca="false">F8+G8</f>
        <v>480.25</v>
      </c>
      <c r="I8" s="24" t="s">
        <v>50</v>
      </c>
      <c r="J8" s="29" t="n">
        <f aca="true">IF(I8="Paid",0,TODAY()-DATEVALUE("2026-04-22"))</f>
        <v>0</v>
      </c>
    </row>
    <row r="9" customFormat="false" ht="18" hidden="false" customHeight="true" outlineLevel="0" collapsed="false">
      <c r="A9" s="12" t="s">
        <v>63</v>
      </c>
      <c r="B9" s="12" t="s">
        <v>64</v>
      </c>
      <c r="C9" s="12" t="s">
        <v>65</v>
      </c>
      <c r="D9" s="11" t="s">
        <v>66</v>
      </c>
      <c r="E9" s="12" t="s">
        <v>32</v>
      </c>
      <c r="F9" s="22" t="n">
        <v>1200</v>
      </c>
      <c r="G9" s="23" t="n">
        <f aca="false">F9*0.13</f>
        <v>156</v>
      </c>
      <c r="H9" s="23" t="n">
        <f aca="false">F9+G9</f>
        <v>1356</v>
      </c>
      <c r="I9" s="24" t="s">
        <v>50</v>
      </c>
      <c r="J9" s="25" t="n">
        <f aca="true">IF(I9="Paid",0,TODAY()-DATEVALUE("2026-05-01"))</f>
        <v>0</v>
      </c>
    </row>
    <row r="10" customFormat="false" ht="18" hidden="false" customHeight="true" outlineLevel="0" collapsed="false">
      <c r="A10" s="26" t="s">
        <v>67</v>
      </c>
      <c r="B10" s="26" t="s">
        <v>68</v>
      </c>
      <c r="C10" s="26" t="s">
        <v>49</v>
      </c>
      <c r="D10" s="27" t="s">
        <v>11</v>
      </c>
      <c r="E10" s="26" t="s">
        <v>25</v>
      </c>
      <c r="F10" s="22" t="n">
        <v>740</v>
      </c>
      <c r="G10" s="28" t="n">
        <f aca="false">F10*0.13</f>
        <v>96.2</v>
      </c>
      <c r="H10" s="28" t="n">
        <f aca="false">F10+G10</f>
        <v>836.2</v>
      </c>
      <c r="I10" s="24" t="s">
        <v>50</v>
      </c>
      <c r="J10" s="29" t="n">
        <f aca="true">IF(I10="Paid",0,TODAY()-DATEVALUE("2026-05-05"))</f>
        <v>0</v>
      </c>
    </row>
    <row r="11" customFormat="false" ht="18" hidden="false" customHeight="true" outlineLevel="0" collapsed="false">
      <c r="A11" s="12" t="s">
        <v>69</v>
      </c>
      <c r="B11" s="12" t="s">
        <v>70</v>
      </c>
      <c r="C11" s="12" t="s">
        <v>53</v>
      </c>
      <c r="D11" s="11" t="s">
        <v>54</v>
      </c>
      <c r="E11" s="12" t="s">
        <v>27</v>
      </c>
      <c r="F11" s="22" t="n">
        <v>850</v>
      </c>
      <c r="G11" s="23" t="n">
        <f aca="false">F11*0.13</f>
        <v>110.5</v>
      </c>
      <c r="H11" s="23" t="n">
        <f aca="false">F11+G11</f>
        <v>960.5</v>
      </c>
      <c r="I11" s="30" t="s">
        <v>71</v>
      </c>
      <c r="J11" s="25" t="n">
        <f aca="true">IF(I11="Paid",0,TODAY()-DATEVALUE("2026-05-12"))</f>
        <v>42</v>
      </c>
    </row>
    <row r="12" customFormat="false" ht="18" hidden="false" customHeight="true" outlineLevel="0" collapsed="false">
      <c r="A12" s="26" t="s">
        <v>72</v>
      </c>
      <c r="B12" s="26" t="s">
        <v>73</v>
      </c>
      <c r="C12" s="26" t="s">
        <v>74</v>
      </c>
      <c r="D12" s="27" t="s">
        <v>75</v>
      </c>
      <c r="E12" s="26" t="s">
        <v>76</v>
      </c>
      <c r="F12" s="22" t="n">
        <v>315</v>
      </c>
      <c r="G12" s="28" t="n">
        <f aca="false">F12*0.13</f>
        <v>40.95</v>
      </c>
      <c r="H12" s="28" t="n">
        <f aca="false">F12+G12</f>
        <v>355.95</v>
      </c>
      <c r="I12" s="30" t="s">
        <v>71</v>
      </c>
      <c r="J12" s="29" t="n">
        <f aca="true">IF(I12="Paid",0,TODAY()-DATEVALUE("2026-05-18"))</f>
        <v>36</v>
      </c>
    </row>
    <row r="13" customFormat="false" ht="18" hidden="false" customHeight="true" outlineLevel="0" collapsed="false">
      <c r="A13" s="12" t="s">
        <v>77</v>
      </c>
      <c r="B13" s="12" t="s">
        <v>78</v>
      </c>
      <c r="C13" s="12" t="s">
        <v>57</v>
      </c>
      <c r="D13" s="11" t="s">
        <v>58</v>
      </c>
      <c r="E13" s="12" t="s">
        <v>25</v>
      </c>
      <c r="F13" s="22" t="n">
        <v>1100</v>
      </c>
      <c r="G13" s="23" t="n">
        <f aca="false">F13*0.13</f>
        <v>143</v>
      </c>
      <c r="H13" s="23" t="n">
        <f aca="false">F13+G13</f>
        <v>1243</v>
      </c>
      <c r="I13" s="30" t="s">
        <v>71</v>
      </c>
      <c r="J13" s="25" t="n">
        <f aca="true">IF(I13="Paid",0,TODAY()-DATEVALUE("2026-05-25"))</f>
        <v>29</v>
      </c>
    </row>
    <row r="14" customFormat="false" ht="18" hidden="false" customHeight="true" outlineLevel="0" collapsed="false">
      <c r="A14" s="26" t="s">
        <v>79</v>
      </c>
      <c r="B14" s="26" t="s">
        <v>80</v>
      </c>
      <c r="C14" s="26" t="s">
        <v>81</v>
      </c>
      <c r="D14" s="27" t="s">
        <v>82</v>
      </c>
      <c r="E14" s="26" t="s">
        <v>83</v>
      </c>
      <c r="F14" s="22" t="n">
        <v>4500</v>
      </c>
      <c r="G14" s="28" t="n">
        <f aca="false">F14*0.13</f>
        <v>585</v>
      </c>
      <c r="H14" s="28" t="n">
        <f aca="false">F14+G14</f>
        <v>5085</v>
      </c>
      <c r="I14" s="30" t="s">
        <v>71</v>
      </c>
      <c r="J14" s="29" t="n">
        <f aca="true">IF(I14="Paid",0,TODAY()-DATEVALUE("2026-06-01"))</f>
        <v>22</v>
      </c>
    </row>
    <row r="15" customFormat="false" ht="18" hidden="false" customHeight="true" outlineLevel="0" collapsed="false">
      <c r="A15" s="12" t="s">
        <v>84</v>
      </c>
      <c r="B15" s="12" t="s">
        <v>85</v>
      </c>
      <c r="C15" s="12" t="s">
        <v>61</v>
      </c>
      <c r="D15" s="11" t="s">
        <v>62</v>
      </c>
      <c r="E15" s="12" t="s">
        <v>30</v>
      </c>
      <c r="F15" s="22" t="n">
        <v>680</v>
      </c>
      <c r="G15" s="23" t="n">
        <f aca="false">F15*0.13</f>
        <v>88.4</v>
      </c>
      <c r="H15" s="23" t="n">
        <f aca="false">F15+G15</f>
        <v>768.4</v>
      </c>
      <c r="I15" s="31" t="s">
        <v>86</v>
      </c>
      <c r="J15" s="25" t="n">
        <f aca="true">IF(I15="Paid",0,TODAY()-DATEVALUE("2026-06-03"))</f>
        <v>20</v>
      </c>
    </row>
    <row r="16" customFormat="false" ht="18" hidden="false" customHeight="true" outlineLevel="0" collapsed="false">
      <c r="A16" s="26" t="s">
        <v>87</v>
      </c>
      <c r="B16" s="26" t="s">
        <v>88</v>
      </c>
      <c r="C16" s="26" t="s">
        <v>89</v>
      </c>
      <c r="D16" s="27" t="s">
        <v>90</v>
      </c>
      <c r="E16" s="26" t="s">
        <v>25</v>
      </c>
      <c r="F16" s="22" t="n">
        <v>920</v>
      </c>
      <c r="G16" s="28" t="n">
        <f aca="false">F16*0.13</f>
        <v>119.6</v>
      </c>
      <c r="H16" s="28" t="n">
        <f aca="false">F16+G16</f>
        <v>1039.6</v>
      </c>
      <c r="I16" s="31" t="s">
        <v>86</v>
      </c>
      <c r="J16" s="29" t="n">
        <f aca="true">IF(I16="Paid",0,TODAY()-DATEVALUE("2026-06-08"))</f>
        <v>15</v>
      </c>
    </row>
    <row r="17" customFormat="false" ht="18" hidden="false" customHeight="true" outlineLevel="0" collapsed="false">
      <c r="A17" s="12" t="s">
        <v>91</v>
      </c>
      <c r="B17" s="12" t="s">
        <v>92</v>
      </c>
      <c r="C17" s="12" t="s">
        <v>65</v>
      </c>
      <c r="D17" s="11" t="s">
        <v>66</v>
      </c>
      <c r="E17" s="12" t="s">
        <v>32</v>
      </c>
      <c r="F17" s="22" t="n">
        <v>960</v>
      </c>
      <c r="G17" s="23" t="n">
        <f aca="false">F17*0.13</f>
        <v>124.8</v>
      </c>
      <c r="H17" s="23" t="n">
        <f aca="false">F17+G17</f>
        <v>1084.8</v>
      </c>
      <c r="I17" s="31" t="s">
        <v>93</v>
      </c>
      <c r="J17" s="25" t="n">
        <f aca="true">IF(I17="Paid",0,TODAY()-DATEVALUE("2026-06-10"))</f>
        <v>13</v>
      </c>
    </row>
    <row r="18" customFormat="false" ht="18" hidden="false" customHeight="true" outlineLevel="0" collapsed="false">
      <c r="A18" s="26" t="s">
        <v>94</v>
      </c>
      <c r="B18" s="26" t="s">
        <v>95</v>
      </c>
      <c r="C18" s="26" t="s">
        <v>53</v>
      </c>
      <c r="D18" s="27" t="s">
        <v>54</v>
      </c>
      <c r="E18" s="26" t="s">
        <v>27</v>
      </c>
      <c r="F18" s="22" t="n">
        <v>850</v>
      </c>
      <c r="G18" s="28" t="n">
        <f aca="false">F18*0.13</f>
        <v>110.5</v>
      </c>
      <c r="H18" s="28" t="n">
        <f aca="false">F18+G18</f>
        <v>960.5</v>
      </c>
      <c r="I18" s="30" t="s">
        <v>71</v>
      </c>
      <c r="J18" s="29" t="n">
        <f aca="true">IF(I18="Paid",0,TODAY()-DATEVALUE("2026-06-15"))</f>
        <v>8</v>
      </c>
    </row>
    <row r="19" customFormat="false" ht="18" hidden="false" customHeight="true" outlineLevel="0" collapsed="false">
      <c r="A19" s="12" t="s">
        <v>96</v>
      </c>
      <c r="B19" s="12" t="s">
        <v>97</v>
      </c>
      <c r="C19" s="12" t="s">
        <v>98</v>
      </c>
      <c r="D19" s="11" t="s">
        <v>99</v>
      </c>
      <c r="E19" s="12" t="s">
        <v>30</v>
      </c>
      <c r="F19" s="22" t="n">
        <v>2200</v>
      </c>
      <c r="G19" s="23" t="n">
        <f aca="false">F19*0.13</f>
        <v>286</v>
      </c>
      <c r="H19" s="23" t="n">
        <f aca="false">F19+G19</f>
        <v>2486</v>
      </c>
      <c r="I19" s="30" t="s">
        <v>71</v>
      </c>
      <c r="J19" s="25" t="n">
        <f aca="true">IF(I19="Paid",0,TODAY()-DATEVALUE("2026-06-20"))</f>
        <v>3</v>
      </c>
    </row>
    <row r="20" customFormat="false" ht="19.5" hidden="false" customHeight="true" outlineLevel="0" collapsed="false">
      <c r="A20" s="32" t="s">
        <v>100</v>
      </c>
      <c r="B20" s="32"/>
      <c r="C20" s="32"/>
      <c r="D20" s="32"/>
      <c r="E20" s="32"/>
      <c r="F20" s="33" t="n">
        <f aca="false">SUM(F5:F19)</f>
        <v>17290</v>
      </c>
      <c r="G20" s="33" t="n">
        <f aca="false">SUM(G5:G19)</f>
        <v>2247.7</v>
      </c>
      <c r="H20" s="33" t="n">
        <f aca="false">SUM(H5:H19)</f>
        <v>19537.7</v>
      </c>
      <c r="I20" s="34"/>
      <c r="J20" s="34"/>
    </row>
  </sheetData>
  <mergeCells count="3">
    <mergeCell ref="A1:J1"/>
    <mergeCell ref="A2:J2"/>
    <mergeCell ref="A20:E20"/>
  </mergeCells>
  <dataValidations count="1">
    <dataValidation allowBlank="false" errorStyle="stop" operator="between" showDropDown="false" showErrorMessage="false" showInputMessage="false" sqref="I5:I19" type="list">
      <formula1>"Paid,Pending,Overdue,Disputed"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30" hidden="false" customHeight="true" outlineLevel="0" collapsed="false">
      <c r="A1" s="20" t="s">
        <v>101</v>
      </c>
      <c r="B1" s="20"/>
      <c r="C1" s="20"/>
      <c r="D1" s="20"/>
      <c r="E1" s="20"/>
      <c r="F1" s="20"/>
    </row>
    <row r="2" customFormat="false" ht="18" hidden="false" customHeight="true" outlineLevel="0" collapsed="false">
      <c r="A2" s="21" t="s">
        <v>102</v>
      </c>
      <c r="B2" s="21"/>
      <c r="C2" s="21"/>
      <c r="D2" s="21"/>
      <c r="E2" s="21"/>
      <c r="F2" s="21"/>
    </row>
    <row r="3" customFormat="false" ht="6" hidden="false" customHeight="true" outlineLevel="0" collapsed="false"/>
    <row r="4" customFormat="false" ht="21.75" hidden="false" customHeight="true" outlineLevel="0" collapsed="false">
      <c r="A4" s="9" t="s">
        <v>41</v>
      </c>
      <c r="B4" s="9" t="s">
        <v>42</v>
      </c>
      <c r="C4" s="9" t="s">
        <v>103</v>
      </c>
      <c r="D4" s="9" t="s">
        <v>104</v>
      </c>
      <c r="E4" s="9" t="s">
        <v>105</v>
      </c>
      <c r="F4" s="9" t="s">
        <v>106</v>
      </c>
    </row>
    <row r="5" customFormat="false" ht="18" hidden="false" customHeight="true" outlineLevel="0" collapsed="false">
      <c r="A5" s="12" t="s">
        <v>49</v>
      </c>
      <c r="B5" s="11" t="s">
        <v>11</v>
      </c>
      <c r="C5" s="11" t="s">
        <v>107</v>
      </c>
      <c r="D5" s="12" t="s">
        <v>108</v>
      </c>
      <c r="E5" s="24" t="s">
        <v>109</v>
      </c>
      <c r="F5" s="11" t="s">
        <v>110</v>
      </c>
    </row>
    <row r="6" customFormat="false" ht="18" hidden="false" customHeight="true" outlineLevel="0" collapsed="false">
      <c r="A6" s="26" t="s">
        <v>53</v>
      </c>
      <c r="B6" s="27" t="s">
        <v>54</v>
      </c>
      <c r="C6" s="27" t="s">
        <v>111</v>
      </c>
      <c r="D6" s="26" t="s">
        <v>112</v>
      </c>
      <c r="E6" s="24" t="s">
        <v>109</v>
      </c>
      <c r="F6" s="27" t="s">
        <v>113</v>
      </c>
    </row>
    <row r="7" customFormat="false" ht="18" hidden="false" customHeight="true" outlineLevel="0" collapsed="false">
      <c r="A7" s="12" t="s">
        <v>57</v>
      </c>
      <c r="B7" s="11" t="s">
        <v>58</v>
      </c>
      <c r="C7" s="11" t="s">
        <v>114</v>
      </c>
      <c r="D7" s="12" t="s">
        <v>108</v>
      </c>
      <c r="E7" s="30" t="s">
        <v>115</v>
      </c>
      <c r="F7" s="11" t="s">
        <v>116</v>
      </c>
    </row>
    <row r="8" customFormat="false" ht="18" hidden="false" customHeight="true" outlineLevel="0" collapsed="false">
      <c r="A8" s="26" t="s">
        <v>61</v>
      </c>
      <c r="B8" s="27" t="s">
        <v>62</v>
      </c>
      <c r="C8" s="27" t="s">
        <v>117</v>
      </c>
      <c r="D8" s="26" t="s">
        <v>118</v>
      </c>
      <c r="E8" s="30" t="s">
        <v>115</v>
      </c>
      <c r="F8" s="27" t="s">
        <v>119</v>
      </c>
    </row>
    <row r="9" customFormat="false" ht="18" hidden="false" customHeight="true" outlineLevel="0" collapsed="false">
      <c r="A9" s="12" t="s">
        <v>65</v>
      </c>
      <c r="B9" s="11" t="s">
        <v>66</v>
      </c>
      <c r="C9" s="11" t="s">
        <v>120</v>
      </c>
      <c r="D9" s="12" t="s">
        <v>108</v>
      </c>
      <c r="E9" s="30" t="s">
        <v>115</v>
      </c>
      <c r="F9" s="11" t="s">
        <v>121</v>
      </c>
    </row>
    <row r="10" customFormat="false" ht="18" hidden="false" customHeight="true" outlineLevel="0" collapsed="false">
      <c r="A10" s="26" t="s">
        <v>74</v>
      </c>
      <c r="B10" s="27" t="s">
        <v>75</v>
      </c>
      <c r="C10" s="27" t="s">
        <v>122</v>
      </c>
      <c r="D10" s="26" t="s">
        <v>108</v>
      </c>
      <c r="E10" s="35" t="s">
        <v>123</v>
      </c>
      <c r="F10" s="27" t="s">
        <v>124</v>
      </c>
    </row>
    <row r="11" customFormat="false" ht="18" hidden="false" customHeight="true" outlineLevel="0" collapsed="false">
      <c r="A11" s="12" t="s">
        <v>81</v>
      </c>
      <c r="B11" s="11" t="s">
        <v>82</v>
      </c>
      <c r="C11" s="11" t="s">
        <v>125</v>
      </c>
      <c r="D11" s="12" t="s">
        <v>112</v>
      </c>
      <c r="E11" s="24" t="s">
        <v>109</v>
      </c>
      <c r="F11" s="11" t="s">
        <v>126</v>
      </c>
    </row>
    <row r="12" customFormat="false" ht="18" hidden="false" customHeight="true" outlineLevel="0" collapsed="false">
      <c r="A12" s="26" t="s">
        <v>89</v>
      </c>
      <c r="B12" s="27" t="s">
        <v>90</v>
      </c>
      <c r="C12" s="27" t="s">
        <v>127</v>
      </c>
      <c r="D12" s="26" t="s">
        <v>108</v>
      </c>
      <c r="E12" s="35" t="s">
        <v>123</v>
      </c>
      <c r="F12" s="27" t="s">
        <v>128</v>
      </c>
    </row>
    <row r="13" customFormat="false" ht="18" hidden="false" customHeight="true" outlineLevel="0" collapsed="false">
      <c r="A13" s="12" t="s">
        <v>98</v>
      </c>
      <c r="B13" s="11" t="s">
        <v>99</v>
      </c>
      <c r="C13" s="11" t="s">
        <v>129</v>
      </c>
      <c r="D13" s="12" t="s">
        <v>108</v>
      </c>
      <c r="E13" s="30" t="s">
        <v>115</v>
      </c>
      <c r="F13" s="11" t="s">
        <v>130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30" hidden="false" customHeight="true" outlineLevel="0" collapsed="false">
      <c r="A1" s="20" t="s">
        <v>131</v>
      </c>
      <c r="B1" s="20"/>
      <c r="C1" s="20"/>
      <c r="D1" s="20"/>
    </row>
    <row r="2" customFormat="false" ht="18" hidden="false" customHeight="true" outlineLevel="0" collapsed="false">
      <c r="A2" s="21" t="s">
        <v>132</v>
      </c>
      <c r="B2" s="21"/>
      <c r="C2" s="21"/>
      <c r="D2" s="21"/>
    </row>
    <row r="3" customFormat="false" ht="6" hidden="false" customHeight="true" outlineLevel="0" collapsed="false"/>
    <row r="4" customFormat="false" ht="21.75" hidden="false" customHeight="true" outlineLevel="0" collapsed="false">
      <c r="A4" s="9" t="s">
        <v>133</v>
      </c>
      <c r="B4" s="9" t="s">
        <v>134</v>
      </c>
      <c r="C4" s="9" t="s">
        <v>135</v>
      </c>
      <c r="D4" s="9" t="s">
        <v>136</v>
      </c>
    </row>
    <row r="5" customFormat="false" ht="18" hidden="false" customHeight="true" outlineLevel="0" collapsed="false">
      <c r="A5" s="12" t="s">
        <v>25</v>
      </c>
      <c r="B5" s="12" t="s">
        <v>137</v>
      </c>
      <c r="C5" s="12" t="s">
        <v>138</v>
      </c>
      <c r="D5" s="36" t="n">
        <v>120000</v>
      </c>
    </row>
    <row r="6" customFormat="false" ht="18" hidden="false" customHeight="true" outlineLevel="0" collapsed="false">
      <c r="A6" s="26" t="s">
        <v>32</v>
      </c>
      <c r="B6" s="26" t="s">
        <v>139</v>
      </c>
      <c r="C6" s="26" t="s">
        <v>140</v>
      </c>
      <c r="D6" s="37" t="n">
        <v>85000</v>
      </c>
    </row>
    <row r="7" customFormat="false" ht="18" hidden="false" customHeight="true" outlineLevel="0" collapsed="false">
      <c r="A7" s="12" t="s">
        <v>76</v>
      </c>
      <c r="B7" s="12" t="s">
        <v>141</v>
      </c>
      <c r="C7" s="12" t="s">
        <v>142</v>
      </c>
      <c r="D7" s="36" t="n">
        <v>60000</v>
      </c>
    </row>
    <row r="8" customFormat="false" ht="18" hidden="false" customHeight="true" outlineLevel="0" collapsed="false">
      <c r="A8" s="26" t="s">
        <v>83</v>
      </c>
      <c r="B8" s="26" t="s">
        <v>143</v>
      </c>
      <c r="C8" s="26" t="s">
        <v>144</v>
      </c>
      <c r="D8" s="37" t="n">
        <v>200000</v>
      </c>
    </row>
    <row r="9" customFormat="false" ht="18" hidden="false" customHeight="true" outlineLevel="0" collapsed="false">
      <c r="A9" s="12" t="s">
        <v>27</v>
      </c>
      <c r="B9" s="12" t="s">
        <v>145</v>
      </c>
      <c r="C9" s="12" t="s">
        <v>146</v>
      </c>
      <c r="D9" s="36" t="n">
        <v>175000</v>
      </c>
    </row>
    <row r="10" customFormat="false" ht="18" hidden="false" customHeight="true" outlineLevel="0" collapsed="false">
      <c r="A10" s="26" t="s">
        <v>30</v>
      </c>
      <c r="B10" s="26" t="s">
        <v>147</v>
      </c>
      <c r="C10" s="26" t="s">
        <v>148</v>
      </c>
      <c r="D10" s="37" t="n">
        <v>95000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4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4"/>
    <col collapsed="false" customWidth="true" hidden="false" outlineLevel="0" max="12" min="11" style="0" width="14"/>
  </cols>
  <sheetData>
    <row r="1" customFormat="false" ht="30" hidden="false" customHeight="true" outlineLevel="0" collapsed="false">
      <c r="A1" s="20" t="s">
        <v>149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15.75" hidden="false" customHeight="true" outlineLevel="0" collapsed="false">
      <c r="A2" s="21" t="s">
        <v>150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customFormat="false" ht="13.5" hidden="false" customHeight="true" outlineLevel="0" collapsed="false"/>
    <row r="4" customFormat="false" ht="24" hidden="false" customHeight="true" outlineLevel="0" collapsed="false">
      <c r="A4" s="38" t="s">
        <v>151</v>
      </c>
      <c r="B4" s="38"/>
      <c r="C4" s="38"/>
      <c r="D4" s="38"/>
      <c r="E4" s="39" t="s">
        <v>152</v>
      </c>
      <c r="F4" s="39"/>
      <c r="G4" s="39"/>
      <c r="H4" s="39"/>
      <c r="I4" s="40" t="s">
        <v>153</v>
      </c>
      <c r="J4" s="40"/>
      <c r="K4" s="40"/>
      <c r="L4" s="40"/>
    </row>
    <row r="5" customFormat="false" ht="36" hidden="false" customHeight="true" outlineLevel="0" collapsed="false">
      <c r="A5" s="41" t="n">
        <f aca="false">'Master Transaction Log'!H20</f>
        <v>19537.7</v>
      </c>
      <c r="B5" s="41"/>
      <c r="C5" s="41"/>
      <c r="D5" s="41"/>
      <c r="E5" s="42" t="n">
        <f aca="false">SUMIF('Master Transaction Log'!I5:I19,"Overdue",'Master Transaction Log'!H5:H19)</f>
        <v>1808</v>
      </c>
      <c r="F5" s="42"/>
      <c r="G5" s="42"/>
      <c r="H5" s="42"/>
      <c r="I5" s="43" t="n">
        <f aca="false">COUNTIFS('Master Transaction Log'!B5:B19,"&gt;="&amp;DATE(2026,6,1),'Master Transaction Log'!B5:B19,"&lt;="&amp;DATE(2026,6,30))</f>
        <v>0</v>
      </c>
      <c r="J5" s="43"/>
      <c r="K5" s="43"/>
      <c r="L5" s="43"/>
    </row>
    <row r="6" customFormat="false" ht="6" hidden="false" customHeight="true" outlineLevel="0" collapsed="false"/>
    <row r="7" customFormat="false" ht="9.75" hidden="false" customHeight="true" outlineLevel="0" collapsed="false"/>
    <row r="8" customFormat="false" ht="19.5" hidden="false" customHeight="true" outlineLevel="0" collapsed="false">
      <c r="A8" s="44" t="s">
        <v>154</v>
      </c>
      <c r="B8" s="44"/>
      <c r="C8" s="44"/>
      <c r="D8" s="44"/>
      <c r="F8" s="44" t="s">
        <v>155</v>
      </c>
      <c r="G8" s="44"/>
      <c r="H8" s="44"/>
      <c r="I8" s="44"/>
    </row>
    <row r="9" customFormat="false" ht="19.5" hidden="false" customHeight="true" outlineLevel="0" collapsed="false">
      <c r="A9" s="9" t="s">
        <v>23</v>
      </c>
      <c r="B9" s="9" t="s">
        <v>156</v>
      </c>
      <c r="C9" s="9" t="s">
        <v>157</v>
      </c>
      <c r="D9" s="9" t="s">
        <v>158</v>
      </c>
      <c r="F9" s="9" t="s">
        <v>159</v>
      </c>
      <c r="G9" s="9" t="s">
        <v>160</v>
      </c>
      <c r="H9" s="9" t="s">
        <v>161</v>
      </c>
      <c r="I9" s="9" t="s">
        <v>162</v>
      </c>
    </row>
    <row r="10" customFormat="false" ht="18" hidden="false" customHeight="true" outlineLevel="0" collapsed="false">
      <c r="A10" s="26" t="s">
        <v>25</v>
      </c>
      <c r="B10" s="27" t="s">
        <v>137</v>
      </c>
      <c r="C10" s="45" t="n">
        <f aca="false">SUMIF('Master Transaction Log'!E5:E19,A10,'Master Transaction Log'!H5:H19)</f>
        <v>5039.8</v>
      </c>
      <c r="D10" s="26" t="n">
        <f aca="false">COUNTIF('Master Transaction Log'!E5:E19,A10)</f>
        <v>5</v>
      </c>
      <c r="F10" s="46" t="s">
        <v>50</v>
      </c>
      <c r="G10" s="12" t="n">
        <f aca="false">COUNTIF('Master Transaction Log'!I5:I19,F10)</f>
        <v>6</v>
      </c>
      <c r="H10" s="14" t="n">
        <f aca="false">SUMIF('Master Transaction Log'!I5:I19,F10,'Master Transaction Log'!H5:H19)</f>
        <v>5553.95</v>
      </c>
      <c r="I10" s="47" t="n">
        <f aca="false">IFERROR(H10/SUM($H$10:$H$13),0)</f>
        <v>0.284268363215732</v>
      </c>
    </row>
    <row r="11" customFormat="false" ht="18" hidden="false" customHeight="true" outlineLevel="0" collapsed="false">
      <c r="A11" s="12" t="s">
        <v>32</v>
      </c>
      <c r="B11" s="11" t="s">
        <v>139</v>
      </c>
      <c r="C11" s="14" t="n">
        <f aca="false">SUMIF('Master Transaction Log'!E5:E19,A11,'Master Transaction Log'!H5:H19)</f>
        <v>2440.8</v>
      </c>
      <c r="D11" s="12" t="n">
        <f aca="false">COUNTIF('Master Transaction Log'!E5:E19,A11)</f>
        <v>2</v>
      </c>
      <c r="F11" s="48" t="s">
        <v>71</v>
      </c>
      <c r="G11" s="12" t="n">
        <f aca="false">COUNTIF('Master Transaction Log'!I5:I19,F11)</f>
        <v>6</v>
      </c>
      <c r="H11" s="14" t="n">
        <f aca="false">SUMIF('Master Transaction Log'!I5:I19,F11,'Master Transaction Log'!H5:H19)</f>
        <v>11090.95</v>
      </c>
      <c r="I11" s="47" t="n">
        <f aca="false">IFERROR(H11/SUM($H$10:$H$13),0)</f>
        <v>0.567669172932331</v>
      </c>
    </row>
    <row r="12" customFormat="false" ht="18" hidden="false" customHeight="true" outlineLevel="0" collapsed="false">
      <c r="A12" s="26" t="s">
        <v>76</v>
      </c>
      <c r="B12" s="27" t="s">
        <v>141</v>
      </c>
      <c r="C12" s="45" t="n">
        <f aca="false">SUMIF('Master Transaction Log'!E5:E19,A12,'Master Transaction Log'!H5:H19)</f>
        <v>355.95</v>
      </c>
      <c r="D12" s="26" t="n">
        <f aca="false">COUNTIF('Master Transaction Log'!E5:E19,A12)</f>
        <v>1</v>
      </c>
      <c r="F12" s="49" t="s">
        <v>86</v>
      </c>
      <c r="G12" s="12" t="n">
        <f aca="false">COUNTIF('Master Transaction Log'!I5:I19,F12)</f>
        <v>2</v>
      </c>
      <c r="H12" s="14" t="n">
        <f aca="false">SUMIF('Master Transaction Log'!I5:I19,F12,'Master Transaction Log'!H5:H19)</f>
        <v>1808</v>
      </c>
      <c r="I12" s="47" t="n">
        <f aca="false">IFERROR(H12/SUM($H$10:$H$13),0)</f>
        <v>0.092539039907461</v>
      </c>
    </row>
    <row r="13" customFormat="false" ht="18" hidden="false" customHeight="true" outlineLevel="0" collapsed="false">
      <c r="A13" s="12" t="s">
        <v>83</v>
      </c>
      <c r="B13" s="11" t="s">
        <v>143</v>
      </c>
      <c r="C13" s="14" t="n">
        <f aca="false">SUMIF('Master Transaction Log'!E5:E19,A13,'Master Transaction Log'!H5:H19)</f>
        <v>5085</v>
      </c>
      <c r="D13" s="12" t="n">
        <f aca="false">COUNTIF('Master Transaction Log'!E5:E19,A13)</f>
        <v>1</v>
      </c>
      <c r="F13" s="49" t="s">
        <v>93</v>
      </c>
      <c r="G13" s="12" t="n">
        <f aca="false">COUNTIF('Master Transaction Log'!I5:I19,F13)</f>
        <v>1</v>
      </c>
      <c r="H13" s="14" t="n">
        <f aca="false">SUMIF('Master Transaction Log'!I5:I19,F13,'Master Transaction Log'!H5:H19)</f>
        <v>1084.8</v>
      </c>
      <c r="I13" s="47" t="n">
        <f aca="false">IFERROR(H13/SUM($H$10:$H$13),0)</f>
        <v>0.0555234239444766</v>
      </c>
    </row>
    <row r="14" customFormat="false" ht="18" hidden="false" customHeight="true" outlineLevel="0" collapsed="false">
      <c r="A14" s="26" t="s">
        <v>27</v>
      </c>
      <c r="B14" s="27" t="s">
        <v>163</v>
      </c>
      <c r="C14" s="45" t="n">
        <f aca="false">SUMIF('Master Transaction Log'!E5:E19,A14,'Master Transaction Log'!H5:H19)</f>
        <v>2881.5</v>
      </c>
      <c r="D14" s="26" t="n">
        <f aca="false">COUNTIF('Master Transaction Log'!E5:E19,A14)</f>
        <v>3</v>
      </c>
    </row>
    <row r="15" customFormat="false" ht="18" hidden="false" customHeight="true" outlineLevel="0" collapsed="false">
      <c r="A15" s="12" t="s">
        <v>30</v>
      </c>
      <c r="B15" s="11" t="s">
        <v>147</v>
      </c>
      <c r="C15" s="14" t="n">
        <f aca="false">SUMIF('Master Transaction Log'!E5:E19,A15,'Master Transaction Log'!H5:H19)</f>
        <v>3734.65</v>
      </c>
      <c r="D15" s="12" t="n">
        <f aca="false">COUNTIF('Master Transaction Log'!E5:E19,A15)</f>
        <v>3</v>
      </c>
    </row>
  </sheetData>
  <mergeCells count="10">
    <mergeCell ref="A1:L1"/>
    <mergeCell ref="A2:L2"/>
    <mergeCell ref="A4:D4"/>
    <mergeCell ref="E4:H4"/>
    <mergeCell ref="I4:L4"/>
    <mergeCell ref="A5:D5"/>
    <mergeCell ref="E5:H5"/>
    <mergeCell ref="I5:L5"/>
    <mergeCell ref="A8:D8"/>
    <mergeCell ref="F8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6"/>
    <col collapsed="false" customWidth="true" hidden="false" outlineLevel="0" max="4" min="4" style="0" width="20"/>
  </cols>
  <sheetData>
    <row r="1" customFormat="false" ht="30" hidden="false" customHeight="true" outlineLevel="0" collapsed="false">
      <c r="A1" s="20" t="s">
        <v>164</v>
      </c>
      <c r="B1" s="20"/>
      <c r="C1" s="20"/>
      <c r="D1" s="20"/>
    </row>
    <row r="2" customFormat="false" ht="18" hidden="false" customHeight="true" outlineLevel="0" collapsed="false">
      <c r="A2" s="21" t="s">
        <v>165</v>
      </c>
      <c r="B2" s="21"/>
      <c r="C2" s="21"/>
      <c r="D2" s="21"/>
    </row>
    <row r="3" customFormat="false" ht="6" hidden="false" customHeight="true" outlineLevel="0" collapsed="false"/>
    <row r="4" customFormat="false" ht="21.75" hidden="false" customHeight="true" outlineLevel="0" collapsed="false">
      <c r="A4" s="9" t="s">
        <v>166</v>
      </c>
      <c r="B4" s="9" t="s">
        <v>19</v>
      </c>
      <c r="C4" s="9" t="s">
        <v>167</v>
      </c>
      <c r="D4" s="9" t="s">
        <v>168</v>
      </c>
    </row>
    <row r="5" customFormat="false" ht="19.5" hidden="false" customHeight="true" outlineLevel="0" collapsed="false">
      <c r="A5" s="24" t="s">
        <v>50</v>
      </c>
      <c r="B5" s="11" t="s">
        <v>169</v>
      </c>
      <c r="C5" s="11" t="s">
        <v>170</v>
      </c>
      <c r="D5" s="12" t="s">
        <v>171</v>
      </c>
    </row>
    <row r="6" customFormat="false" ht="19.5" hidden="false" customHeight="true" outlineLevel="0" collapsed="false">
      <c r="A6" s="30" t="s">
        <v>71</v>
      </c>
      <c r="B6" s="11" t="s">
        <v>172</v>
      </c>
      <c r="C6" s="11" t="s">
        <v>173</v>
      </c>
      <c r="D6" s="12" t="s">
        <v>171</v>
      </c>
    </row>
    <row r="7" customFormat="false" ht="19.5" hidden="false" customHeight="true" outlineLevel="0" collapsed="false">
      <c r="A7" s="31" t="s">
        <v>86</v>
      </c>
      <c r="B7" s="11" t="s">
        <v>174</v>
      </c>
      <c r="C7" s="11" t="s">
        <v>175</v>
      </c>
      <c r="D7" s="50" t="s">
        <v>176</v>
      </c>
    </row>
    <row r="8" customFormat="false" ht="19.5" hidden="false" customHeight="true" outlineLevel="0" collapsed="false">
      <c r="A8" s="31" t="s">
        <v>93</v>
      </c>
      <c r="B8" s="11" t="s">
        <v>177</v>
      </c>
      <c r="C8" s="11" t="s">
        <v>178</v>
      </c>
      <c r="D8" s="50" t="s">
        <v>176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2026-06-23T17:28:47Z</dcterms:created>
  <dc:creator>openpyxl</dc:creator>
  <dc:description/>
  <dc:language>en-US</dc:language>
  <cp:lastModifiedBy/>
  <dcterms:modified xsi:type="dcterms:W3CDTF">2026-06-23T17:28:47Z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